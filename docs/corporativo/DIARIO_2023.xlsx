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Z:\CLIENTES\aznar\"/>
    </mc:Choice>
  </mc:AlternateContent>
  <xr:revisionPtr revIDLastSave="0" documentId="8_{42FD74C5-C39E-4D3F-8945-2EDE508E9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ro" sheetId="2" r:id="rId1"/>
    <sheet name="Febrero" sheetId="3" r:id="rId2"/>
    <sheet name="Marzo" sheetId="4" r:id="rId3"/>
    <sheet name="Abril" sheetId="5" r:id="rId4"/>
    <sheet name="Mayo" sheetId="6" r:id="rId5"/>
    <sheet name="Junio" sheetId="7" r:id="rId6"/>
    <sheet name="Julio" sheetId="8" r:id="rId7"/>
    <sheet name="Agosto" sheetId="9" r:id="rId8"/>
    <sheet name="Septiembre" sheetId="10" r:id="rId9"/>
    <sheet name="Octubre" sheetId="11" r:id="rId10"/>
    <sheet name="Noviembre" sheetId="12" r:id="rId11"/>
    <sheet name="Diciembre" sheetId="13" r:id="rId12"/>
  </sheets>
  <definedNames>
    <definedName name="_xlnm.Print_Area" localSheetId="3">Abril!$A$1:$J$31</definedName>
    <definedName name="_xlnm.Print_Area" localSheetId="7">Agosto!$A$1:$J$27</definedName>
    <definedName name="_xlnm.Print_Area" localSheetId="11">Diciembre!$A$1:$J$112</definedName>
    <definedName name="_xlnm.Print_Area" localSheetId="0">Enero!$A$1:$J$60</definedName>
    <definedName name="_xlnm.Print_Area" localSheetId="1">Febrero!$A$1:$J$27</definedName>
    <definedName name="_xlnm.Print_Area" localSheetId="6">Julio!$A$1:$J$18</definedName>
    <definedName name="_xlnm.Print_Area" localSheetId="5">Junio!$A$1:$J$29</definedName>
    <definedName name="_xlnm.Print_Area" localSheetId="2">Marzo!$A$1:$J$27</definedName>
    <definedName name="_xlnm.Print_Area" localSheetId="4">Mayo!$A$1:$J$34</definedName>
    <definedName name="_xlnm.Print_Area" localSheetId="10">Noviembre!$A$1:$J$31</definedName>
    <definedName name="_xlnm.Print_Area" localSheetId="9">Octubre!$A$1:$J$36</definedName>
    <definedName name="_xlnm.Print_Area" localSheetId="8">Septiembre!$A$1:$J$24</definedName>
    <definedName name="_xlnm.Print_Titles" localSheetId="3">Abril!$1:$7</definedName>
    <definedName name="_xlnm.Print_Titles" localSheetId="7">Agosto!$1:$7</definedName>
    <definedName name="_xlnm.Print_Titles" localSheetId="11">Diciembre!$1:$7</definedName>
    <definedName name="_xlnm.Print_Titles" localSheetId="0">Enero!$1:$7</definedName>
    <definedName name="_xlnm.Print_Titles" localSheetId="1">Febrero!$1:$7</definedName>
    <definedName name="_xlnm.Print_Titles" localSheetId="6">Julio!$1:$7</definedName>
    <definedName name="_xlnm.Print_Titles" localSheetId="5">Junio!$1:$7</definedName>
    <definedName name="_xlnm.Print_Titles" localSheetId="2">Marzo!$1:$7</definedName>
    <definedName name="_xlnm.Print_Titles" localSheetId="4">Mayo!$1:$7</definedName>
    <definedName name="_xlnm.Print_Titles" localSheetId="10">Noviembre!$1:$7</definedName>
    <definedName name="_xlnm.Print_Titles" localSheetId="9">Octubre!$1:$7</definedName>
    <definedName name="_xlnm.Print_Titles" localSheetId="8">Septiembre!$1:$7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5" l="1"/>
  <c r="J113" i="13"/>
  <c r="I113" i="13"/>
  <c r="J32" i="12"/>
  <c r="I32" i="12"/>
  <c r="J37" i="11"/>
  <c r="I37" i="11"/>
  <c r="J25" i="10"/>
  <c r="I25" i="10"/>
  <c r="J28" i="9"/>
  <c r="I28" i="9"/>
  <c r="J19" i="8"/>
  <c r="I19" i="8"/>
  <c r="J30" i="7"/>
  <c r="I30" i="7"/>
  <c r="J35" i="6"/>
  <c r="I35" i="6"/>
  <c r="J32" i="5"/>
  <c r="J28" i="4"/>
  <c r="I28" i="4"/>
  <c r="J28" i="3"/>
  <c r="I28" i="3"/>
  <c r="J61" i="2"/>
  <c r="I61" i="2"/>
</calcChain>
</file>

<file path=xl/sharedStrings.xml><?xml version="1.0" encoding="utf-8"?>
<sst xmlns="http://schemas.openxmlformats.org/spreadsheetml/2006/main" count="1376" uniqueCount="333">
  <si>
    <t>Ref. Int.</t>
  </si>
  <si>
    <t>Fecha</t>
  </si>
  <si>
    <t>Asiento</t>
  </si>
  <si>
    <t>Apunte</t>
  </si>
  <si>
    <t>Concepto</t>
  </si>
  <si>
    <t>Documento</t>
  </si>
  <si>
    <t>Cuenta</t>
  </si>
  <si>
    <t>Descripción de la cuenta</t>
  </si>
  <si>
    <t>Importe debe</t>
  </si>
  <si>
    <t>Importe haber</t>
  </si>
  <si>
    <t>1</t>
  </si>
  <si>
    <t>CAPITAL SOCIAL</t>
  </si>
  <si>
    <t>Apertura</t>
  </si>
  <si>
    <t>2</t>
  </si>
  <si>
    <t>RESERVA LEGAL</t>
  </si>
  <si>
    <t>3</t>
  </si>
  <si>
    <t>RESERVAS VOLUNTARIAS</t>
  </si>
  <si>
    <t>REMANENTE</t>
  </si>
  <si>
    <t>RESULTADO POSITIVO 2021</t>
  </si>
  <si>
    <t>RESULTADO POSITIVO 2022</t>
  </si>
  <si>
    <t>RESULTADO NEGATIVO 2020</t>
  </si>
  <si>
    <t>MOBILIARIO</t>
  </si>
  <si>
    <t>EQUIPOS PARA PROCESOS DE</t>
  </si>
  <si>
    <t>EQUIPOS PARA PROCESOS DE IN</t>
  </si>
  <si>
    <t>AMORTIZACIÓN ACUMULADA D</t>
  </si>
  <si>
    <t>AMORTIZACIÓN ACUMULADA DE M</t>
  </si>
  <si>
    <t>AMOR. ACUM. EQ. PROCS. D</t>
  </si>
  <si>
    <t>AMOR. ACUM. EQ. PROCS. DE I</t>
  </si>
  <si>
    <t>AMORTIZACION ACUM IPAD P</t>
  </si>
  <si>
    <t>AMORTIZACION ACUM IPAD PRO</t>
  </si>
  <si>
    <t>MARCIAL PONS LIBRERO SL</t>
  </si>
  <si>
    <t>SOLUCIONES WEB ONLINE S.</t>
  </si>
  <si>
    <t>SOLUCIONES WEB ONLINE S.L.</t>
  </si>
  <si>
    <t>MARIN ASESORES TRIBUTARI</t>
  </si>
  <si>
    <t>MARIN ASESORES TRIBUTARIOS,</t>
  </si>
  <si>
    <t>MARCIAL PONS LIBREROS, S</t>
  </si>
  <si>
    <t>MARCIAL PONS LIBREROS, S.L.</t>
  </si>
  <si>
    <t>DURAN LLOBERA CRISTINA</t>
  </si>
  <si>
    <t>ESPASA CALPE, S.A.</t>
  </si>
  <si>
    <t>VUELINGS AIRLINES, S.A.</t>
  </si>
  <si>
    <t>IKEA IBERICA, S.A.</t>
  </si>
  <si>
    <t>AZNAR PALLARES ENRIQUE</t>
  </si>
  <si>
    <t>FABRICA NACIONA DE MONED</t>
  </si>
  <si>
    <t>FABRICA NACIONA DE MONEDA Y</t>
  </si>
  <si>
    <t>ASOC MULTIMEDIA INTERNET</t>
  </si>
  <si>
    <t>ASOC MULTIMEDIA INTERNET Y</t>
  </si>
  <si>
    <t>ESTEVEZ TORRALBA ANDRES</t>
  </si>
  <si>
    <t>TELEFONICA DE ESPAÑA, S.</t>
  </si>
  <si>
    <t>TELEFONICA DE ESPAÑA, S.A.U</t>
  </si>
  <si>
    <t>CVB SOFTWARE S.L.</t>
  </si>
  <si>
    <t>APPLE GRAN PLAZA 2</t>
  </si>
  <si>
    <t>PILMA DISSENY S.A.</t>
  </si>
  <si>
    <t>COLEGIO DE ABOGADOS DE B</t>
  </si>
  <si>
    <t>COLEGIO DE ABOGADOS DE BARC</t>
  </si>
  <si>
    <t>FUNDACION INSTITUTO DE E</t>
  </si>
  <si>
    <t>FUNDACION INSTITUTO DE EMPR</t>
  </si>
  <si>
    <t>ASOC ESPA DE COMPLIANCE</t>
  </si>
  <si>
    <t>ASOC ESPA DE COMPLIANCE (AS</t>
  </si>
  <si>
    <t>HACIENDA PÚBLICA, DEUDOR</t>
  </si>
  <si>
    <t>HACIENDA PÚBLICA, DEUDORA P</t>
  </si>
  <si>
    <t>CRÉD. PÉRDIDAS A COMPEN.</t>
  </si>
  <si>
    <t>CRÉD. PÉRDIDAS A COMPEN. EJ</t>
  </si>
  <si>
    <t>IRPF PROFESIONALES</t>
  </si>
  <si>
    <t>CTA CORRIENTE SOC. Y ADM</t>
  </si>
  <si>
    <t>CTA CORRIENTE SOC. Y ADMINI</t>
  </si>
  <si>
    <t>PARTIDAS PENDIENTES DE A</t>
  </si>
  <si>
    <t>PARTIDAS PENDIENTES DE APLI</t>
  </si>
  <si>
    <t>BANKINTER 0566</t>
  </si>
  <si>
    <t>GOCARDLESS</t>
  </si>
  <si>
    <t>00001</t>
  </si>
  <si>
    <t>OTROS SERVICIOS</t>
  </si>
  <si>
    <t>S/ FRA. Nº</t>
  </si>
  <si>
    <t>2658</t>
  </si>
  <si>
    <t>SKY MEDIA GROUP SERV INTEGR</t>
  </si>
  <si>
    <t>IVA S./SKY MEDIA GROUP S</t>
  </si>
  <si>
    <t>HACIENDA PÚBLICA, IVA SOPOR</t>
  </si>
  <si>
    <t>SKY MEDIA GROUP SERV INT</t>
  </si>
  <si>
    <t>00002</t>
  </si>
  <si>
    <t>00003</t>
  </si>
  <si>
    <t>TRIBUTO 1113115569754T</t>
  </si>
  <si>
    <t>00004</t>
  </si>
  <si>
    <t>49</t>
  </si>
  <si>
    <t>IVA S./MARIN ASESORES TR</t>
  </si>
  <si>
    <t>SERVICIOS PROFESIONALES IND</t>
  </si>
  <si>
    <t>00005</t>
  </si>
  <si>
    <t/>
  </si>
  <si>
    <t>Total en Enero</t>
  </si>
  <si>
    <t>Diario.</t>
  </si>
  <si>
    <t>Empresa: AZNAR LEGAL Y COMPLIANCE S.L.P.</t>
  </si>
  <si>
    <t>Período: de 01/01/2023 a 31/12/2023</t>
  </si>
  <si>
    <t>Fecha: 09/07/2024</t>
  </si>
  <si>
    <t>1-FEB.-23</t>
  </si>
  <si>
    <t>00006</t>
  </si>
  <si>
    <t>2-FEB.-23</t>
  </si>
  <si>
    <t>2708</t>
  </si>
  <si>
    <t>9-FEB.-23</t>
  </si>
  <si>
    <t>1114</t>
  </si>
  <si>
    <t>IVA S./ESPASA CALPE, S.A</t>
  </si>
  <si>
    <t>13-FEB.-23</t>
  </si>
  <si>
    <t>00007</t>
  </si>
  <si>
    <t>20-FEB.-23</t>
  </si>
  <si>
    <t>8560</t>
  </si>
  <si>
    <t>LIBRERIA JURIDICA LEXNOVA S</t>
  </si>
  <si>
    <t>IVA S./LIBRERIA JURIDICA</t>
  </si>
  <si>
    <t>LIBRERIA JURIDICA LEXNOV</t>
  </si>
  <si>
    <t>277</t>
  </si>
  <si>
    <t>24-FEB.-23</t>
  </si>
  <si>
    <t>00008</t>
  </si>
  <si>
    <t>Total en Febrero</t>
  </si>
  <si>
    <t>1-MAR.-23</t>
  </si>
  <si>
    <t>00009</t>
  </si>
  <si>
    <t>2-MAR.-23</t>
  </si>
  <si>
    <t>2870</t>
  </si>
  <si>
    <t>13-MAR.-23</t>
  </si>
  <si>
    <t>9903</t>
  </si>
  <si>
    <t>IVA S./TELEFONICA DE ESP</t>
  </si>
  <si>
    <t>SUMINISTRO DE TELEFONÍA E I</t>
  </si>
  <si>
    <t>8521</t>
  </si>
  <si>
    <t>00010</t>
  </si>
  <si>
    <t>20-MAR.-23</t>
  </si>
  <si>
    <t>MARZO</t>
  </si>
  <si>
    <t>30-MAR.-23</t>
  </si>
  <si>
    <t>00011</t>
  </si>
  <si>
    <t>31-MAR.-23</t>
  </si>
  <si>
    <t>Modelo 303 1 Trimestre</t>
  </si>
  <si>
    <t>Total en Marzo</t>
  </si>
  <si>
    <t>N/FRA.N.</t>
  </si>
  <si>
    <t>1/2023</t>
  </si>
  <si>
    <t>RABANO SARA</t>
  </si>
  <si>
    <t>IVA R./RABANO SARA</t>
  </si>
  <si>
    <t>HACIENDA PÚBLICA, IVA REPER</t>
  </si>
  <si>
    <t>PRESTACIONES DE SERVICIOS</t>
  </si>
  <si>
    <t>ABRIL</t>
  </si>
  <si>
    <t>5569</t>
  </si>
  <si>
    <t>IVA S./VUELINGS AIRLINES</t>
  </si>
  <si>
    <t>DESPLAZAMIENTO</t>
  </si>
  <si>
    <t>COMPRAS DE MERCADERÍAS</t>
  </si>
  <si>
    <t>5573</t>
  </si>
  <si>
    <t>5577</t>
  </si>
  <si>
    <t>5635</t>
  </si>
  <si>
    <t>00012</t>
  </si>
  <si>
    <t>DESC BANCO</t>
  </si>
  <si>
    <t>Su Fra. 23/0000754</t>
  </si>
  <si>
    <t>1/0000754</t>
  </si>
  <si>
    <t>MARIN ASESORES TRIBUTARIOS</t>
  </si>
  <si>
    <t>Total en Abril</t>
  </si>
  <si>
    <t>1-MAY.-23</t>
  </si>
  <si>
    <t>MAYO</t>
  </si>
  <si>
    <t>2-MAY.-23</t>
  </si>
  <si>
    <t>00013</t>
  </si>
  <si>
    <t>00014</t>
  </si>
  <si>
    <t>9-MAY.-23</t>
  </si>
  <si>
    <t>S/ FRA. Nº MARCIA PONS</t>
  </si>
  <si>
    <t>5596</t>
  </si>
  <si>
    <t>ACRE. PRESTA. SERVICIOS(EUR</t>
  </si>
  <si>
    <t>IVA S./ACRE. PRESTA. SER</t>
  </si>
  <si>
    <t>ACRE. PRESTA. SERVICIOS(</t>
  </si>
  <si>
    <t>11-MAY.-23</t>
  </si>
  <si>
    <t>2/2023</t>
  </si>
  <si>
    <t>3/2023</t>
  </si>
  <si>
    <t>IVA R./FUNDACION INSTITU</t>
  </si>
  <si>
    <t>12-MAY.-23</t>
  </si>
  <si>
    <t>4/2023</t>
  </si>
  <si>
    <t>INMOCRYPTO(GIMENO LUIS )</t>
  </si>
  <si>
    <t>15-MAY.-23</t>
  </si>
  <si>
    <t>00015</t>
  </si>
  <si>
    <t>23-MAY.-23</t>
  </si>
  <si>
    <t>Su Fra. 23/0000989</t>
  </si>
  <si>
    <t>1/0000989</t>
  </si>
  <si>
    <t>26-MAY.-23</t>
  </si>
  <si>
    <t>00016</t>
  </si>
  <si>
    <t>31-MAY.-23</t>
  </si>
  <si>
    <t>5/2023</t>
  </si>
  <si>
    <t>BLOCKCHAIN INTELLIGENCE(ALM</t>
  </si>
  <si>
    <t>IVA R./BLOCKCHAIN INTELL</t>
  </si>
  <si>
    <t>BLOCKCHAIN INTELLIGENCE(</t>
  </si>
  <si>
    <t>Total en Mayo</t>
  </si>
  <si>
    <t>1-JUN.-23</t>
  </si>
  <si>
    <t>JUNIO</t>
  </si>
  <si>
    <t>00017</t>
  </si>
  <si>
    <t>13-JUN.-23</t>
  </si>
  <si>
    <t>00018</t>
  </si>
  <si>
    <t>21-JUN.-23</t>
  </si>
  <si>
    <t>6/2023</t>
  </si>
  <si>
    <t>S/ FRA. Nº BUSINESS&amp;MARK</t>
  </si>
  <si>
    <t>0148</t>
  </si>
  <si>
    <t>23-JUN.-23</t>
  </si>
  <si>
    <t>COMIS. MANT</t>
  </si>
  <si>
    <t>00019</t>
  </si>
  <si>
    <t>SERVICIOS BANCARIOS Y SIMIL</t>
  </si>
  <si>
    <t>24-JUN.-23</t>
  </si>
  <si>
    <t>Su Fra. 23/0001229</t>
  </si>
  <si>
    <t>1/0001229</t>
  </si>
  <si>
    <t>28-JUN.-23</t>
  </si>
  <si>
    <t>00020</t>
  </si>
  <si>
    <t>30-JUN.-23</t>
  </si>
  <si>
    <t>Modelo 303 2 Trimestre</t>
  </si>
  <si>
    <t>Cuotas compensar aplicad</t>
  </si>
  <si>
    <t>Total en Junio</t>
  </si>
  <si>
    <t>3-JUL.-23</t>
  </si>
  <si>
    <t>00023</t>
  </si>
  <si>
    <t>13-JUL.-23</t>
  </si>
  <si>
    <t>00024</t>
  </si>
  <si>
    <t>14-JUL.-23</t>
  </si>
  <si>
    <t>AON IBERIA CORREDURIA D</t>
  </si>
  <si>
    <t>00025</t>
  </si>
  <si>
    <t>24-JUL.-23</t>
  </si>
  <si>
    <t>Su Fra. 23/0001467</t>
  </si>
  <si>
    <t>1/0001467</t>
  </si>
  <si>
    <t>27-JUL.-23</t>
  </si>
  <si>
    <t>00026</t>
  </si>
  <si>
    <t>Total en Julio</t>
  </si>
  <si>
    <t>00027</t>
  </si>
  <si>
    <t>6091</t>
  </si>
  <si>
    <t>INTECAT ISTORE, S.L</t>
  </si>
  <si>
    <t>IVA S./INTECAT ISTORE, S</t>
  </si>
  <si>
    <t>00028</t>
  </si>
  <si>
    <t>Su Fra. 23/0001704</t>
  </si>
  <si>
    <t>1/0001704</t>
  </si>
  <si>
    <t>07/2023</t>
  </si>
  <si>
    <t>AMPHION SOFT, S.L.</t>
  </si>
  <si>
    <t>IVA R./AMPHION SOFT, S.L</t>
  </si>
  <si>
    <t>00029</t>
  </si>
  <si>
    <t>6206</t>
  </si>
  <si>
    <t>00030</t>
  </si>
  <si>
    <t>Total en Agosto</t>
  </si>
  <si>
    <t>1-SEP.-23</t>
  </si>
  <si>
    <t>08/2023</t>
  </si>
  <si>
    <t>SOCCER TECH CITY COSTA BALL</t>
  </si>
  <si>
    <t>IVA R./SOCCER TECH CITY</t>
  </si>
  <si>
    <t>SOCCER TECH CITY COSTA B</t>
  </si>
  <si>
    <t>00031</t>
  </si>
  <si>
    <t>8-SEP.-23</t>
  </si>
  <si>
    <t>ASOC. ESPANOLA DE COMPL</t>
  </si>
  <si>
    <t>00032</t>
  </si>
  <si>
    <t>ASOC ESPAÑOLA DE COMPLIACE(</t>
  </si>
  <si>
    <t>13-SEP.-23</t>
  </si>
  <si>
    <t>00033</t>
  </si>
  <si>
    <t>14-SEP.-23</t>
  </si>
  <si>
    <t>0028</t>
  </si>
  <si>
    <t>RUNRUN DIGITAL MARKETING, S</t>
  </si>
  <si>
    <t>IVA S./RUNRUN DIGITAL MA</t>
  </si>
  <si>
    <t>RUNRUN DIGITAL MARKETING</t>
  </si>
  <si>
    <t>24-SEP.-23</t>
  </si>
  <si>
    <t>Su Fra. 23/0001942</t>
  </si>
  <si>
    <t>1/0001942</t>
  </si>
  <si>
    <t>28-SEP.-23</t>
  </si>
  <si>
    <t>00034</t>
  </si>
  <si>
    <t>Total en Septiembre</t>
  </si>
  <si>
    <t>2-OCT.-23</t>
  </si>
  <si>
    <t>00035</t>
  </si>
  <si>
    <t>3-OCT.-23</t>
  </si>
  <si>
    <t>09/2023</t>
  </si>
  <si>
    <t>13-OCT.-23</t>
  </si>
  <si>
    <t>2177</t>
  </si>
  <si>
    <t>00036</t>
  </si>
  <si>
    <t>24-OCT.-23</t>
  </si>
  <si>
    <t>Su Fra. 23/0002180</t>
  </si>
  <si>
    <t>1/0002180</t>
  </si>
  <si>
    <t>27-OCT.-23</t>
  </si>
  <si>
    <t>11/2023</t>
  </si>
  <si>
    <t>10/2023</t>
  </si>
  <si>
    <t>00037</t>
  </si>
  <si>
    <t>30-OCT.-23</t>
  </si>
  <si>
    <t>8568</t>
  </si>
  <si>
    <t>IVA S./MARCIAL PONS LIBR</t>
  </si>
  <si>
    <t>0812</t>
  </si>
  <si>
    <t>12/2023</t>
  </si>
  <si>
    <t>IVA R./COLEGIO DE ABOGAD</t>
  </si>
  <si>
    <t>Total en Octubre</t>
  </si>
  <si>
    <t>1-NOV.-23</t>
  </si>
  <si>
    <t>00038</t>
  </si>
  <si>
    <t>6-NOV.-23</t>
  </si>
  <si>
    <t>13/2023</t>
  </si>
  <si>
    <t>8-NOV.-23</t>
  </si>
  <si>
    <t>00039</t>
  </si>
  <si>
    <t>13-NOV.-23</t>
  </si>
  <si>
    <t>7476</t>
  </si>
  <si>
    <t>00040</t>
  </si>
  <si>
    <t>17-NOV.-23</t>
  </si>
  <si>
    <t>9639</t>
  </si>
  <si>
    <t>INTERMODALIDAD DE LEVANTE S</t>
  </si>
  <si>
    <t>INTERMODALIDAD DE LEVANT</t>
  </si>
  <si>
    <t>TRANSPORTES</t>
  </si>
  <si>
    <t>S/ FRA. Nº RENFE</t>
  </si>
  <si>
    <t>4159</t>
  </si>
  <si>
    <t>21-NOV.-23</t>
  </si>
  <si>
    <t>Su Fra. 23/0002421</t>
  </si>
  <si>
    <t>1/0002421</t>
  </si>
  <si>
    <t>27-NOV.-23</t>
  </si>
  <si>
    <t>14/2023</t>
  </si>
  <si>
    <t>FUNDACION BANCARIA UNICAJA</t>
  </si>
  <si>
    <t>IVA R./FUNDACION BANCARI</t>
  </si>
  <si>
    <t>FUNDACION BANCARIA UNICA</t>
  </si>
  <si>
    <t>28-NOV.-23</t>
  </si>
  <si>
    <t>00041</t>
  </si>
  <si>
    <t>Total en Noviembre</t>
  </si>
  <si>
    <t>00042</t>
  </si>
  <si>
    <t>15/2023</t>
  </si>
  <si>
    <t>16/2023</t>
  </si>
  <si>
    <t>ACN LEGAL SOLUTIONS SLP</t>
  </si>
  <si>
    <t>1943</t>
  </si>
  <si>
    <t>IVA S./INTERMODALIDAD DE</t>
  </si>
  <si>
    <t>IRYO</t>
  </si>
  <si>
    <t>5464</t>
  </si>
  <si>
    <t>00043</t>
  </si>
  <si>
    <t>17/2023</t>
  </si>
  <si>
    <t>Su Fra. 23/0002690</t>
  </si>
  <si>
    <t>1/0002690</t>
  </si>
  <si>
    <t>00044</t>
  </si>
  <si>
    <t>00045</t>
  </si>
  <si>
    <t>AMORT. DE ORDENADOR FNAC</t>
  </si>
  <si>
    <t>DOT. AMORT. INM. MATERIAL</t>
  </si>
  <si>
    <t>AMORT. DE IPAD PRO</t>
  </si>
  <si>
    <t>2956</t>
  </si>
  <si>
    <t>AMORTIZACION ACUMULADA IPAD</t>
  </si>
  <si>
    <t>AMORT. DE MESA + ESTANTE</t>
  </si>
  <si>
    <t>21/47392</t>
  </si>
  <si>
    <t>DOT. AMORT. MOBILIARIO</t>
  </si>
  <si>
    <t>01/2023</t>
  </si>
  <si>
    <t>IVA S./AZNAR PALLARES EN</t>
  </si>
  <si>
    <t>Reten./AZNAR PALLARES EN</t>
  </si>
  <si>
    <t>IRPF NOMINAS</t>
  </si>
  <si>
    <t>Modelo 303 4 Trimestre</t>
  </si>
  <si>
    <t>Cierre ejercicio</t>
  </si>
  <si>
    <t>Beneficios período</t>
  </si>
  <si>
    <t>PERDIDAS Y GANANCIAS 23</t>
  </si>
  <si>
    <t>Cierre</t>
  </si>
  <si>
    <t>PERDIDAS Y GANANCIAS</t>
  </si>
  <si>
    <t>ASOC ESPAÑOLA DE COMPLIA</t>
  </si>
  <si>
    <t>HACIENDA PÚBLICA, IVA SO</t>
  </si>
  <si>
    <t>HACIENDA PÚBLICA, IVA RE</t>
  </si>
  <si>
    <t>Total en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</si>
</sst>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0"/>
  </numFmts>
  <fonts count="4" x14ac:knownFonts="1">
    <font>
      <sz val="11"/>
      <color theme="1"/>
      <name val="Calibri"/>
      <family val="2"/>
    </font>
    <font>
      <b/>
      <i/>
      <sz val="18"/>
      <color theme="1"/>
      <name val="Arial"/>
      <family val="2"/>
    </font>
    <font>
      <b/>
      <sz val="11"/>
      <color theme="1"/>
      <name val="Calibri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15" fontId="0" fillId="0" borderId="2" xfId="0" applyNumberFormat="1" applyBorder="1"/>
    <xf numFmtId="0" fontId="0" fillId="0" borderId="2" xfId="0" quotePrefix="1" applyBorder="1" applyAlignment="1">
      <alignment horizontal="left"/>
    </xf>
    <xf numFmtId="0" fontId="0" fillId="0" borderId="2" xfId="0" applyBorder="1" applyAlignment="1">
      <alignment horizontal="right"/>
    </xf>
    <xf numFmtId="164" fontId="0" fillId="0" borderId="2" xfId="0" applyNumberFormat="1" applyBorder="1"/>
    <xf numFmtId="15" fontId="0" fillId="0" borderId="0" xfId="0" applyNumberFormat="1"/>
    <xf numFmtId="0" fontId="0" fillId="0" borderId="0" xfId="0" quotePrefix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DD8D-44C6-4FC1-8693-BED90FA0A16A}">
  <sheetPr>
    <pageSetUpPr fitToPage="1"/>
  </sheetPr>
  <dimension ref="A1:J61"/>
  <sheetViews>
    <sheetView tabSelected="1" workbookViewId="0"/>
  </sheetViews>
  <sheetFormatPr baseColWidth="10" defaultColWidth="8.88671875" defaultRowHeight="14.4" x14ac:dyDescent="0.3"/>
  <cols>
    <col min="1" max="1" width="8" customWidth="1"/>
    <col min="2" max="2" width="10.6640625" customWidth="1"/>
    <col min="3" max="3" width="7.5546875" customWidth="1"/>
    <col min="4" max="4" width="7.109375" customWidth="1"/>
    <col min="5" max="5" width="28.88671875" customWidth="1"/>
    <col min="6" max="6" width="10.6640625" customWidth="1"/>
    <col min="7" max="7" width="9.33203125" customWidth="1"/>
    <col min="8" max="8" width="32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B8" s="3">
        <v>44927</v>
      </c>
      <c r="C8">
        <v>1</v>
      </c>
      <c r="D8">
        <v>1</v>
      </c>
      <c r="E8" t="s">
        <v>11</v>
      </c>
      <c r="F8" s="4" t="s">
        <v>12</v>
      </c>
      <c r="G8" s="5">
        <v>10000000</v>
      </c>
      <c r="H8" t="s">
        <v>11</v>
      </c>
      <c r="I8" s="6">
        <v>0</v>
      </c>
      <c r="J8" s="6">
        <v>3000</v>
      </c>
    </row>
    <row r="9" spans="1:10" x14ac:dyDescent="0.3">
      <c r="B9" s="7"/>
      <c r="D9">
        <v>2</v>
      </c>
      <c r="E9" t="s">
        <v>14</v>
      </c>
      <c r="F9" s="8" t="s">
        <v>12</v>
      </c>
      <c r="G9" s="9">
        <v>11200000</v>
      </c>
      <c r="H9" t="s">
        <v>14</v>
      </c>
      <c r="I9" s="10">
        <v>0</v>
      </c>
      <c r="J9" s="10">
        <v>600</v>
      </c>
    </row>
    <row r="10" spans="1:10" x14ac:dyDescent="0.3">
      <c r="B10" s="7"/>
      <c r="D10">
        <v>3</v>
      </c>
      <c r="E10" t="s">
        <v>16</v>
      </c>
      <c r="F10" s="8" t="s">
        <v>12</v>
      </c>
      <c r="G10" s="9">
        <v>11300000</v>
      </c>
      <c r="H10" t="s">
        <v>16</v>
      </c>
      <c r="I10" s="10">
        <v>0</v>
      </c>
      <c r="J10" s="10">
        <v>11746.4</v>
      </c>
    </row>
    <row r="11" spans="1:10" x14ac:dyDescent="0.3">
      <c r="B11" s="7"/>
      <c r="D11">
        <v>4</v>
      </c>
      <c r="E11" t="s">
        <v>17</v>
      </c>
      <c r="F11" s="8" t="s">
        <v>12</v>
      </c>
      <c r="G11" s="9">
        <v>12000000</v>
      </c>
      <c r="H11" t="s">
        <v>17</v>
      </c>
      <c r="I11" s="10">
        <v>0</v>
      </c>
      <c r="J11" s="10">
        <v>69.61</v>
      </c>
    </row>
    <row r="12" spans="1:10" x14ac:dyDescent="0.3">
      <c r="B12" s="7"/>
      <c r="D12">
        <v>5</v>
      </c>
      <c r="E12" t="s">
        <v>18</v>
      </c>
      <c r="F12" s="8" t="s">
        <v>12</v>
      </c>
      <c r="G12" s="9">
        <v>12002100</v>
      </c>
      <c r="H12" t="s">
        <v>18</v>
      </c>
      <c r="I12" s="10">
        <v>0</v>
      </c>
      <c r="J12" s="10">
        <v>22.78</v>
      </c>
    </row>
    <row r="13" spans="1:10" x14ac:dyDescent="0.3">
      <c r="B13" s="7"/>
      <c r="D13">
        <v>6</v>
      </c>
      <c r="E13" t="s">
        <v>19</v>
      </c>
      <c r="F13" s="8" t="s">
        <v>12</v>
      </c>
      <c r="G13" s="9">
        <v>12002200</v>
      </c>
      <c r="H13" t="s">
        <v>19</v>
      </c>
      <c r="I13" s="10">
        <v>0</v>
      </c>
      <c r="J13" s="10">
        <v>1604.99</v>
      </c>
    </row>
    <row r="14" spans="1:10" x14ac:dyDescent="0.3">
      <c r="B14" s="7"/>
      <c r="D14">
        <v>7</v>
      </c>
      <c r="E14" t="s">
        <v>20</v>
      </c>
      <c r="F14" s="8" t="s">
        <v>12</v>
      </c>
      <c r="G14" s="9">
        <v>12102000</v>
      </c>
      <c r="H14" t="s">
        <v>20</v>
      </c>
      <c r="I14" s="10">
        <v>2417.4699999999998</v>
      </c>
      <c r="J14" s="10">
        <v>0</v>
      </c>
    </row>
    <row r="15" spans="1:10" x14ac:dyDescent="0.3">
      <c r="B15" s="7"/>
      <c r="D15">
        <v>8</v>
      </c>
      <c r="E15" t="s">
        <v>21</v>
      </c>
      <c r="F15" s="8" t="s">
        <v>12</v>
      </c>
      <c r="G15" s="9">
        <v>21600000</v>
      </c>
      <c r="H15" t="s">
        <v>21</v>
      </c>
      <c r="I15" s="10">
        <v>245.45</v>
      </c>
      <c r="J15" s="10">
        <v>0</v>
      </c>
    </row>
    <row r="16" spans="1:10" x14ac:dyDescent="0.3">
      <c r="B16" s="7"/>
      <c r="D16">
        <v>9</v>
      </c>
      <c r="E16" t="s">
        <v>22</v>
      </c>
      <c r="F16" s="8" t="s">
        <v>12</v>
      </c>
      <c r="G16" s="9">
        <v>21700000</v>
      </c>
      <c r="H16" t="s">
        <v>23</v>
      </c>
      <c r="I16" s="10">
        <v>1976.92</v>
      </c>
      <c r="J16" s="10">
        <v>0</v>
      </c>
    </row>
    <row r="17" spans="2:10" x14ac:dyDescent="0.3">
      <c r="B17" s="7"/>
      <c r="D17">
        <v>10</v>
      </c>
      <c r="E17" t="s">
        <v>24</v>
      </c>
      <c r="F17" s="8" t="s">
        <v>12</v>
      </c>
      <c r="G17" s="9">
        <v>28160000</v>
      </c>
      <c r="H17" t="s">
        <v>25</v>
      </c>
      <c r="I17" s="10">
        <v>0</v>
      </c>
      <c r="J17" s="10">
        <v>24.55</v>
      </c>
    </row>
    <row r="18" spans="2:10" x14ac:dyDescent="0.3">
      <c r="B18" s="7"/>
      <c r="D18">
        <v>11</v>
      </c>
      <c r="E18" t="s">
        <v>26</v>
      </c>
      <c r="F18" s="8" t="s">
        <v>12</v>
      </c>
      <c r="G18" s="9">
        <v>28170000</v>
      </c>
      <c r="H18" t="s">
        <v>27</v>
      </c>
      <c r="I18" s="10">
        <v>0</v>
      </c>
      <c r="J18" s="10">
        <v>408.89</v>
      </c>
    </row>
    <row r="19" spans="2:10" x14ac:dyDescent="0.3">
      <c r="B19" s="7"/>
      <c r="D19">
        <v>12</v>
      </c>
      <c r="E19" t="s">
        <v>28</v>
      </c>
      <c r="F19" s="8" t="s">
        <v>12</v>
      </c>
      <c r="G19" s="9">
        <v>28170004</v>
      </c>
      <c r="H19" t="s">
        <v>29</v>
      </c>
      <c r="I19" s="10">
        <v>0</v>
      </c>
      <c r="J19" s="10">
        <v>93.41</v>
      </c>
    </row>
    <row r="20" spans="2:10" x14ac:dyDescent="0.3">
      <c r="B20" s="7"/>
      <c r="D20">
        <v>13</v>
      </c>
      <c r="E20" t="s">
        <v>30</v>
      </c>
      <c r="F20" s="8" t="s">
        <v>12</v>
      </c>
      <c r="G20" s="9">
        <v>40000014</v>
      </c>
      <c r="H20" t="s">
        <v>30</v>
      </c>
      <c r="I20" s="10">
        <v>0</v>
      </c>
      <c r="J20" s="10">
        <v>173.01</v>
      </c>
    </row>
    <row r="21" spans="2:10" x14ac:dyDescent="0.3">
      <c r="B21" s="7"/>
      <c r="D21">
        <v>14</v>
      </c>
      <c r="E21" t="s">
        <v>31</v>
      </c>
      <c r="F21" s="8" t="s">
        <v>12</v>
      </c>
      <c r="G21" s="9">
        <v>41000003</v>
      </c>
      <c r="H21" t="s">
        <v>32</v>
      </c>
      <c r="I21" s="10">
        <v>141.06</v>
      </c>
      <c r="J21" s="10">
        <v>0</v>
      </c>
    </row>
    <row r="22" spans="2:10" x14ac:dyDescent="0.3">
      <c r="B22" s="7"/>
      <c r="D22">
        <v>15</v>
      </c>
      <c r="E22" t="s">
        <v>33</v>
      </c>
      <c r="F22" s="8" t="s">
        <v>12</v>
      </c>
      <c r="G22" s="9">
        <v>41000005</v>
      </c>
      <c r="H22" t="s">
        <v>34</v>
      </c>
      <c r="I22" s="10">
        <v>314.60000000000002</v>
      </c>
      <c r="J22" s="10">
        <v>0</v>
      </c>
    </row>
    <row r="23" spans="2:10" x14ac:dyDescent="0.3">
      <c r="B23" s="7"/>
      <c r="D23">
        <v>16</v>
      </c>
      <c r="E23" t="s">
        <v>35</v>
      </c>
      <c r="F23" s="8" t="s">
        <v>12</v>
      </c>
      <c r="G23" s="9">
        <v>41000007</v>
      </c>
      <c r="H23" t="s">
        <v>36</v>
      </c>
      <c r="I23" s="10">
        <v>0</v>
      </c>
      <c r="J23" s="10">
        <v>267.52999999999997</v>
      </c>
    </row>
    <row r="24" spans="2:10" x14ac:dyDescent="0.3">
      <c r="B24" s="7"/>
      <c r="D24">
        <v>17</v>
      </c>
      <c r="E24" t="s">
        <v>37</v>
      </c>
      <c r="F24" s="8" t="s">
        <v>12</v>
      </c>
      <c r="G24" s="9">
        <v>41000008</v>
      </c>
      <c r="H24" t="s">
        <v>37</v>
      </c>
      <c r="I24" s="10">
        <v>16.62</v>
      </c>
      <c r="J24" s="10">
        <v>0</v>
      </c>
    </row>
    <row r="25" spans="2:10" x14ac:dyDescent="0.3">
      <c r="B25" s="7"/>
      <c r="D25">
        <v>18</v>
      </c>
      <c r="E25" t="s">
        <v>38</v>
      </c>
      <c r="F25" s="8" t="s">
        <v>12</v>
      </c>
      <c r="G25" s="9">
        <v>41000009</v>
      </c>
      <c r="H25" t="s">
        <v>38</v>
      </c>
      <c r="I25" s="10">
        <v>0</v>
      </c>
      <c r="J25" s="10">
        <v>76.819999999999993</v>
      </c>
    </row>
    <row r="26" spans="2:10" x14ac:dyDescent="0.3">
      <c r="B26" s="7"/>
      <c r="D26">
        <v>19</v>
      </c>
      <c r="E26" t="s">
        <v>39</v>
      </c>
      <c r="F26" s="8" t="s">
        <v>12</v>
      </c>
      <c r="G26" s="9">
        <v>41000012</v>
      </c>
      <c r="H26" t="s">
        <v>39</v>
      </c>
      <c r="I26" s="10">
        <v>0</v>
      </c>
      <c r="J26" s="10">
        <v>154.34</v>
      </c>
    </row>
    <row r="27" spans="2:10" x14ac:dyDescent="0.3">
      <c r="B27" s="7"/>
      <c r="D27">
        <v>20</v>
      </c>
      <c r="E27" t="s">
        <v>40</v>
      </c>
      <c r="F27" s="8" t="s">
        <v>12</v>
      </c>
      <c r="G27" s="9">
        <v>41000013</v>
      </c>
      <c r="H27" t="s">
        <v>40</v>
      </c>
      <c r="I27" s="10">
        <v>0</v>
      </c>
      <c r="J27" s="10">
        <v>297</v>
      </c>
    </row>
    <row r="28" spans="2:10" x14ac:dyDescent="0.3">
      <c r="B28" s="7"/>
      <c r="D28">
        <v>21</v>
      </c>
      <c r="E28" t="s">
        <v>41</v>
      </c>
      <c r="F28" s="8" t="s">
        <v>12</v>
      </c>
      <c r="G28" s="9">
        <v>41000014</v>
      </c>
      <c r="H28" t="s">
        <v>41</v>
      </c>
      <c r="I28" s="10">
        <v>0</v>
      </c>
      <c r="J28" s="10">
        <v>9116.2199999999993</v>
      </c>
    </row>
    <row r="29" spans="2:10" x14ac:dyDescent="0.3">
      <c r="B29" s="7"/>
      <c r="D29">
        <v>22</v>
      </c>
      <c r="E29" t="s">
        <v>42</v>
      </c>
      <c r="F29" s="8" t="s">
        <v>12</v>
      </c>
      <c r="G29" s="9">
        <v>41000015</v>
      </c>
      <c r="H29" t="s">
        <v>43</v>
      </c>
      <c r="I29" s="10">
        <v>29.04</v>
      </c>
      <c r="J29" s="10">
        <v>0</v>
      </c>
    </row>
    <row r="30" spans="2:10" x14ac:dyDescent="0.3">
      <c r="B30" s="7"/>
      <c r="D30">
        <v>23</v>
      </c>
      <c r="E30" t="s">
        <v>44</v>
      </c>
      <c r="F30" s="8" t="s">
        <v>12</v>
      </c>
      <c r="G30" s="9">
        <v>41000016</v>
      </c>
      <c r="H30" t="s">
        <v>45</v>
      </c>
      <c r="I30" s="10">
        <v>0</v>
      </c>
      <c r="J30" s="10">
        <v>249</v>
      </c>
    </row>
    <row r="31" spans="2:10" x14ac:dyDescent="0.3">
      <c r="B31" s="7"/>
      <c r="D31">
        <v>24</v>
      </c>
      <c r="E31" t="s">
        <v>46</v>
      </c>
      <c r="F31" s="8" t="s">
        <v>12</v>
      </c>
      <c r="G31" s="9">
        <v>41000017</v>
      </c>
      <c r="H31" t="s">
        <v>46</v>
      </c>
      <c r="I31" s="10">
        <v>0</v>
      </c>
      <c r="J31" s="10">
        <v>163.80000000000001</v>
      </c>
    </row>
    <row r="32" spans="2:10" x14ac:dyDescent="0.3">
      <c r="B32" s="7"/>
      <c r="D32">
        <v>25</v>
      </c>
      <c r="E32" t="s">
        <v>47</v>
      </c>
      <c r="F32" s="8" t="s">
        <v>12</v>
      </c>
      <c r="G32" s="9">
        <v>41000019</v>
      </c>
      <c r="H32" t="s">
        <v>48</v>
      </c>
      <c r="I32" s="10">
        <v>280.7</v>
      </c>
      <c r="J32" s="10">
        <v>0</v>
      </c>
    </row>
    <row r="33" spans="1:10" x14ac:dyDescent="0.3">
      <c r="B33" s="7"/>
      <c r="D33">
        <v>26</v>
      </c>
      <c r="E33" t="s">
        <v>49</v>
      </c>
      <c r="F33" s="8" t="s">
        <v>12</v>
      </c>
      <c r="G33" s="9">
        <v>41000020</v>
      </c>
      <c r="H33" t="s">
        <v>49</v>
      </c>
      <c r="I33" s="10">
        <v>0</v>
      </c>
      <c r="J33" s="10">
        <v>301.92</v>
      </c>
    </row>
    <row r="34" spans="1:10" x14ac:dyDescent="0.3">
      <c r="B34" s="7"/>
      <c r="D34">
        <v>27</v>
      </c>
      <c r="E34" t="s">
        <v>50</v>
      </c>
      <c r="F34" s="8" t="s">
        <v>12</v>
      </c>
      <c r="G34" s="9">
        <v>41000021</v>
      </c>
      <c r="H34" t="s">
        <v>50</v>
      </c>
      <c r="I34" s="10">
        <v>0</v>
      </c>
      <c r="J34" s="10">
        <v>1746</v>
      </c>
    </row>
    <row r="35" spans="1:10" x14ac:dyDescent="0.3">
      <c r="B35" s="7"/>
      <c r="D35">
        <v>28</v>
      </c>
      <c r="E35" t="s">
        <v>51</v>
      </c>
      <c r="F35" s="8" t="s">
        <v>12</v>
      </c>
      <c r="G35" s="9">
        <v>41000022</v>
      </c>
      <c r="H35" t="s">
        <v>51</v>
      </c>
      <c r="I35" s="10">
        <v>0</v>
      </c>
      <c r="J35" s="10">
        <v>242.4</v>
      </c>
    </row>
    <row r="36" spans="1:10" x14ac:dyDescent="0.3">
      <c r="B36" s="7"/>
      <c r="D36">
        <v>29</v>
      </c>
      <c r="E36" t="s">
        <v>52</v>
      </c>
      <c r="F36" s="8" t="s">
        <v>12</v>
      </c>
      <c r="G36" s="9">
        <v>43000010</v>
      </c>
      <c r="H36" t="s">
        <v>53</v>
      </c>
      <c r="I36" s="10">
        <v>300</v>
      </c>
      <c r="J36" s="10">
        <v>0</v>
      </c>
    </row>
    <row r="37" spans="1:10" x14ac:dyDescent="0.3">
      <c r="B37" s="7"/>
      <c r="D37">
        <v>30</v>
      </c>
      <c r="E37" t="s">
        <v>54</v>
      </c>
      <c r="F37" s="8" t="s">
        <v>12</v>
      </c>
      <c r="G37" s="9">
        <v>43000011</v>
      </c>
      <c r="H37" t="s">
        <v>55</v>
      </c>
      <c r="I37" s="10">
        <v>2420</v>
      </c>
      <c r="J37" s="10">
        <v>0</v>
      </c>
    </row>
    <row r="38" spans="1:10" x14ac:dyDescent="0.3">
      <c r="B38" s="7"/>
      <c r="D38">
        <v>31</v>
      </c>
      <c r="E38" t="s">
        <v>56</v>
      </c>
      <c r="F38" s="8" t="s">
        <v>12</v>
      </c>
      <c r="G38" s="9">
        <v>43000013</v>
      </c>
      <c r="H38" t="s">
        <v>57</v>
      </c>
      <c r="I38" s="10">
        <v>120</v>
      </c>
      <c r="J38" s="10">
        <v>0</v>
      </c>
    </row>
    <row r="39" spans="1:10" x14ac:dyDescent="0.3">
      <c r="B39" s="7"/>
      <c r="D39">
        <v>32</v>
      </c>
      <c r="E39" t="s">
        <v>58</v>
      </c>
      <c r="F39" s="8" t="s">
        <v>12</v>
      </c>
      <c r="G39" s="9">
        <v>47000000</v>
      </c>
      <c r="H39" t="s">
        <v>59</v>
      </c>
      <c r="I39" s="10">
        <v>12744.36</v>
      </c>
      <c r="J39" s="10">
        <v>0</v>
      </c>
    </row>
    <row r="40" spans="1:10" x14ac:dyDescent="0.3">
      <c r="B40" s="7"/>
      <c r="D40">
        <v>33</v>
      </c>
      <c r="E40" t="s">
        <v>60</v>
      </c>
      <c r="F40" s="8" t="s">
        <v>12</v>
      </c>
      <c r="G40" s="9">
        <v>47450000</v>
      </c>
      <c r="H40" t="s">
        <v>61</v>
      </c>
      <c r="I40" s="10">
        <v>263.22000000000003</v>
      </c>
      <c r="J40" s="10">
        <v>0</v>
      </c>
    </row>
    <row r="41" spans="1:10" x14ac:dyDescent="0.3">
      <c r="B41" s="7"/>
      <c r="D41">
        <v>34</v>
      </c>
      <c r="E41" t="s">
        <v>62</v>
      </c>
      <c r="F41" s="8" t="s">
        <v>12</v>
      </c>
      <c r="G41" s="9">
        <v>47510001</v>
      </c>
      <c r="H41" t="s">
        <v>62</v>
      </c>
      <c r="I41" s="10">
        <v>0</v>
      </c>
      <c r="J41" s="10">
        <v>1005.03</v>
      </c>
    </row>
    <row r="42" spans="1:10" x14ac:dyDescent="0.3">
      <c r="B42" s="7"/>
      <c r="D42">
        <v>35</v>
      </c>
      <c r="E42" t="s">
        <v>63</v>
      </c>
      <c r="F42" s="8" t="s">
        <v>12</v>
      </c>
      <c r="G42" s="9">
        <v>55100000</v>
      </c>
      <c r="H42" t="s">
        <v>64</v>
      </c>
      <c r="I42" s="10">
        <v>0</v>
      </c>
      <c r="J42" s="10">
        <v>17421.71</v>
      </c>
    </row>
    <row r="43" spans="1:10" x14ac:dyDescent="0.3">
      <c r="B43" s="7"/>
      <c r="D43">
        <v>36</v>
      </c>
      <c r="E43" t="s">
        <v>65</v>
      </c>
      <c r="F43" s="8" t="s">
        <v>12</v>
      </c>
      <c r="G43" s="9">
        <v>55500000</v>
      </c>
      <c r="H43" t="s">
        <v>66</v>
      </c>
      <c r="I43" s="10">
        <v>197.4</v>
      </c>
      <c r="J43" s="10">
        <v>0</v>
      </c>
    </row>
    <row r="44" spans="1:10" x14ac:dyDescent="0.3">
      <c r="B44" s="7"/>
      <c r="D44">
        <v>37</v>
      </c>
      <c r="E44" t="s">
        <v>67</v>
      </c>
      <c r="F44" s="8" t="s">
        <v>12</v>
      </c>
      <c r="G44" s="9">
        <v>57200000</v>
      </c>
      <c r="H44" t="s">
        <v>67</v>
      </c>
      <c r="I44" s="10">
        <v>27318.57</v>
      </c>
      <c r="J44" s="10">
        <v>0</v>
      </c>
    </row>
    <row r="45" spans="1:10" x14ac:dyDescent="0.3">
      <c r="A45">
        <v>38</v>
      </c>
      <c r="B45" s="7">
        <v>44928</v>
      </c>
      <c r="C45">
        <v>2</v>
      </c>
      <c r="D45">
        <v>38</v>
      </c>
      <c r="E45" t="s">
        <v>68</v>
      </c>
      <c r="F45" s="8" t="s">
        <v>69</v>
      </c>
      <c r="G45" s="9">
        <v>57200000</v>
      </c>
      <c r="H45" t="s">
        <v>67</v>
      </c>
      <c r="I45" s="10">
        <v>0</v>
      </c>
      <c r="J45" s="10">
        <v>25</v>
      </c>
    </row>
    <row r="46" spans="1:10" x14ac:dyDescent="0.3">
      <c r="B46" s="7"/>
      <c r="D46">
        <v>39</v>
      </c>
      <c r="E46" t="s">
        <v>68</v>
      </c>
      <c r="F46" s="8" t="s">
        <v>69</v>
      </c>
      <c r="G46" s="9">
        <v>62900000</v>
      </c>
      <c r="H46" t="s">
        <v>70</v>
      </c>
      <c r="I46" s="10">
        <v>25</v>
      </c>
      <c r="J46" s="10">
        <v>0</v>
      </c>
    </row>
    <row r="47" spans="1:10" x14ac:dyDescent="0.3">
      <c r="A47">
        <v>6</v>
      </c>
      <c r="B47" s="7">
        <v>44929</v>
      </c>
      <c r="C47">
        <v>3</v>
      </c>
      <c r="D47">
        <v>40</v>
      </c>
      <c r="E47" t="s">
        <v>71</v>
      </c>
      <c r="F47" s="8" t="s">
        <v>72</v>
      </c>
      <c r="G47" s="9">
        <v>41000024</v>
      </c>
      <c r="H47" t="s">
        <v>73</v>
      </c>
      <c r="I47" s="10">
        <v>0</v>
      </c>
      <c r="J47" s="10">
        <v>25</v>
      </c>
    </row>
    <row r="48" spans="1:10" x14ac:dyDescent="0.3">
      <c r="B48" s="7"/>
      <c r="D48">
        <v>41</v>
      </c>
      <c r="E48" t="s">
        <v>74</v>
      </c>
      <c r="F48" s="8" t="s">
        <v>72</v>
      </c>
      <c r="G48" s="9">
        <v>47200000</v>
      </c>
      <c r="H48" t="s">
        <v>75</v>
      </c>
      <c r="I48" s="10">
        <v>4.34</v>
      </c>
      <c r="J48" s="10">
        <v>0</v>
      </c>
    </row>
    <row r="49" spans="1:10" x14ac:dyDescent="0.3">
      <c r="B49" s="7"/>
      <c r="D49">
        <v>42</v>
      </c>
      <c r="E49" t="s">
        <v>76</v>
      </c>
      <c r="F49" s="8" t="s">
        <v>72</v>
      </c>
      <c r="G49" s="9">
        <v>62900000</v>
      </c>
      <c r="H49" t="s">
        <v>70</v>
      </c>
      <c r="I49" s="10">
        <v>20.66</v>
      </c>
      <c r="J49" s="10">
        <v>0</v>
      </c>
    </row>
    <row r="50" spans="1:10" x14ac:dyDescent="0.3">
      <c r="A50">
        <v>39</v>
      </c>
      <c r="B50" s="7">
        <v>44939</v>
      </c>
      <c r="C50">
        <v>4</v>
      </c>
      <c r="D50">
        <v>43</v>
      </c>
      <c r="E50" t="s">
        <v>47</v>
      </c>
      <c r="F50" s="8" t="s">
        <v>77</v>
      </c>
      <c r="G50" s="9">
        <v>57200000</v>
      </c>
      <c r="H50" t="s">
        <v>67</v>
      </c>
      <c r="I50" s="10">
        <v>0</v>
      </c>
      <c r="J50" s="10">
        <v>151.38</v>
      </c>
    </row>
    <row r="51" spans="1:10" x14ac:dyDescent="0.3">
      <c r="B51" s="7"/>
      <c r="D51">
        <v>44</v>
      </c>
      <c r="E51" t="s">
        <v>47</v>
      </c>
      <c r="F51" s="8" t="s">
        <v>77</v>
      </c>
      <c r="G51" s="9">
        <v>41000019</v>
      </c>
      <c r="H51" t="s">
        <v>48</v>
      </c>
      <c r="I51" s="10">
        <v>151.38</v>
      </c>
      <c r="J51" s="10">
        <v>0</v>
      </c>
    </row>
    <row r="52" spans="1:10" x14ac:dyDescent="0.3">
      <c r="A52">
        <v>40</v>
      </c>
      <c r="B52" s="7">
        <v>44939</v>
      </c>
      <c r="C52">
        <v>5</v>
      </c>
      <c r="D52">
        <v>45</v>
      </c>
      <c r="E52" t="s">
        <v>54</v>
      </c>
      <c r="F52" s="8" t="s">
        <v>78</v>
      </c>
      <c r="G52" s="9">
        <v>57200000</v>
      </c>
      <c r="H52" t="s">
        <v>67</v>
      </c>
      <c r="I52" s="10">
        <v>2420</v>
      </c>
      <c r="J52" s="10">
        <v>0</v>
      </c>
    </row>
    <row r="53" spans="1:10" x14ac:dyDescent="0.3">
      <c r="B53" s="7"/>
      <c r="D53">
        <v>46</v>
      </c>
      <c r="E53" t="s">
        <v>54</v>
      </c>
      <c r="F53" s="8" t="s">
        <v>78</v>
      </c>
      <c r="G53" s="9">
        <v>43000011</v>
      </c>
      <c r="H53" t="s">
        <v>55</v>
      </c>
      <c r="I53" s="10">
        <v>0</v>
      </c>
      <c r="J53" s="10">
        <v>2420</v>
      </c>
    </row>
    <row r="54" spans="1:10" x14ac:dyDescent="0.3">
      <c r="A54">
        <v>41</v>
      </c>
      <c r="B54" s="7">
        <v>44944</v>
      </c>
      <c r="C54">
        <v>6</v>
      </c>
      <c r="D54">
        <v>47</v>
      </c>
      <c r="E54" t="s">
        <v>79</v>
      </c>
      <c r="F54" s="8" t="s">
        <v>80</v>
      </c>
      <c r="G54" s="9">
        <v>57200000</v>
      </c>
      <c r="H54" t="s">
        <v>67</v>
      </c>
      <c r="I54" s="10">
        <v>0</v>
      </c>
      <c r="J54" s="10">
        <v>1005.03</v>
      </c>
    </row>
    <row r="55" spans="1:10" x14ac:dyDescent="0.3">
      <c r="B55" s="7"/>
      <c r="D55">
        <v>48</v>
      </c>
      <c r="E55" t="s">
        <v>79</v>
      </c>
      <c r="F55" s="8" t="s">
        <v>80</v>
      </c>
      <c r="G55" s="9">
        <v>47510001</v>
      </c>
      <c r="H55" t="s">
        <v>62</v>
      </c>
      <c r="I55" s="10">
        <v>1005.03</v>
      </c>
      <c r="J55" s="10">
        <v>0</v>
      </c>
    </row>
    <row r="56" spans="1:10" x14ac:dyDescent="0.3">
      <c r="A56">
        <v>10</v>
      </c>
      <c r="B56" s="7">
        <v>44949</v>
      </c>
      <c r="C56">
        <v>7</v>
      </c>
      <c r="D56">
        <v>49</v>
      </c>
      <c r="E56" t="s">
        <v>71</v>
      </c>
      <c r="F56" s="8" t="s">
        <v>81</v>
      </c>
      <c r="G56" s="9">
        <v>41000005</v>
      </c>
      <c r="H56" t="s">
        <v>34</v>
      </c>
      <c r="I56" s="10">
        <v>0</v>
      </c>
      <c r="J56" s="10">
        <v>157.30000000000001</v>
      </c>
    </row>
    <row r="57" spans="1:10" x14ac:dyDescent="0.3">
      <c r="B57" s="7"/>
      <c r="D57">
        <v>50</v>
      </c>
      <c r="E57" t="s">
        <v>82</v>
      </c>
      <c r="F57" s="8" t="s">
        <v>81</v>
      </c>
      <c r="G57" s="9">
        <v>47200000</v>
      </c>
      <c r="H57" t="s">
        <v>75</v>
      </c>
      <c r="I57" s="10">
        <v>27.3</v>
      </c>
      <c r="J57" s="10">
        <v>0</v>
      </c>
    </row>
    <row r="58" spans="1:10" x14ac:dyDescent="0.3">
      <c r="B58" s="7"/>
      <c r="D58">
        <v>51</v>
      </c>
      <c r="E58" t="s">
        <v>33</v>
      </c>
      <c r="F58" s="8" t="s">
        <v>81</v>
      </c>
      <c r="G58" s="9">
        <v>62300000</v>
      </c>
      <c r="H58" t="s">
        <v>83</v>
      </c>
      <c r="I58" s="10">
        <v>130</v>
      </c>
      <c r="J58" s="10">
        <v>0</v>
      </c>
    </row>
    <row r="59" spans="1:10" x14ac:dyDescent="0.3">
      <c r="A59">
        <v>42</v>
      </c>
      <c r="B59" s="7">
        <v>44953</v>
      </c>
      <c r="C59">
        <v>8</v>
      </c>
      <c r="D59">
        <v>52</v>
      </c>
      <c r="E59" t="s">
        <v>33</v>
      </c>
      <c r="F59" s="8" t="s">
        <v>84</v>
      </c>
      <c r="G59" s="9">
        <v>57200000</v>
      </c>
      <c r="H59" t="s">
        <v>67</v>
      </c>
      <c r="I59" s="10">
        <v>0</v>
      </c>
      <c r="J59" s="10">
        <v>157.30000000000001</v>
      </c>
    </row>
    <row r="60" spans="1:10" x14ac:dyDescent="0.3">
      <c r="B60" s="7"/>
      <c r="D60">
        <v>53</v>
      </c>
      <c r="E60" t="s">
        <v>33</v>
      </c>
      <c r="F60" s="8" t="s">
        <v>84</v>
      </c>
      <c r="G60" s="9">
        <v>41000005</v>
      </c>
      <c r="H60" t="s">
        <v>34</v>
      </c>
      <c r="I60" s="10">
        <v>157.30000000000001</v>
      </c>
      <c r="J60" s="10">
        <v>0</v>
      </c>
    </row>
    <row r="61" spans="1:10" x14ac:dyDescent="0.3">
      <c r="B61" s="7"/>
      <c r="F61" s="8" t="s">
        <v>85</v>
      </c>
      <c r="G61" s="9"/>
      <c r="H61" s="12" t="s">
        <v>86</v>
      </c>
      <c r="I61" s="13">
        <f>SUM(I8:I60)</f>
        <v>52726.420000000006</v>
      </c>
      <c r="J61" s="13">
        <f>SUM(J8:J60)</f>
        <v>52726.419999999991</v>
      </c>
    </row>
  </sheetData>
  <pageMargins left="0.75" right="0.75" top="1" bottom="1" header="0.5" footer="0.5"/>
  <pageSetup paperSize="9"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9ABCA-718C-41B5-BBC2-0F790080D6CC}">
  <sheetPr>
    <pageSetUpPr fitToPage="1"/>
  </sheetPr>
  <dimension ref="A1:J28"/>
  <sheetViews>
    <sheetView workbookViewId="0"/>
  </sheetViews>
  <sheetFormatPr baseColWidth="10" defaultColWidth="8.88671875" defaultRowHeight="14.4" x14ac:dyDescent="0.3"/>
  <cols>
    <col min="1" max="1" width="8" customWidth="1"/>
    <col min="2" max="2" width="10.44140625" customWidth="1"/>
    <col min="3" max="3" width="7.5546875" customWidth="1"/>
    <col min="4" max="4" width="7.109375" customWidth="1"/>
    <col min="5" max="5" width="26.33203125" customWidth="1"/>
    <col min="6" max="6" width="10.6640625" customWidth="1"/>
    <col min="7" max="7" width="9.33203125" customWidth="1"/>
    <col min="8" max="8" width="29.3320312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43</v>
      </c>
      <c r="B8" s="3" t="s">
        <v>91</v>
      </c>
      <c r="C8">
        <v>9</v>
      </c>
      <c r="D8">
        <v>54</v>
      </c>
      <c r="E8" t="s">
        <v>68</v>
      </c>
      <c r="F8" s="4" t="s">
        <v>92</v>
      </c>
      <c r="G8" s="5">
        <v>57200000</v>
      </c>
      <c r="H8" t="s">
        <v>67</v>
      </c>
      <c r="I8" s="6">
        <v>0</v>
      </c>
      <c r="J8" s="6">
        <v>25</v>
      </c>
    </row>
    <row r="9" spans="1:10" x14ac:dyDescent="0.3">
      <c r="B9" s="7"/>
      <c r="D9">
        <v>55</v>
      </c>
      <c r="E9" t="s">
        <v>68</v>
      </c>
      <c r="F9" s="8" t="s">
        <v>92</v>
      </c>
      <c r="G9" s="9">
        <v>62900000</v>
      </c>
      <c r="H9" t="s">
        <v>70</v>
      </c>
      <c r="I9" s="10">
        <v>25</v>
      </c>
      <c r="J9" s="10">
        <v>0</v>
      </c>
    </row>
    <row r="10" spans="1:10" x14ac:dyDescent="0.3">
      <c r="A10">
        <v>7</v>
      </c>
      <c r="B10" s="7" t="s">
        <v>93</v>
      </c>
      <c r="C10">
        <v>10</v>
      </c>
      <c r="D10">
        <v>56</v>
      </c>
      <c r="E10" t="s">
        <v>71</v>
      </c>
      <c r="F10" s="8" t="s">
        <v>94</v>
      </c>
      <c r="G10" s="9">
        <v>41000024</v>
      </c>
      <c r="H10" t="s">
        <v>73</v>
      </c>
      <c r="I10" s="10">
        <v>0</v>
      </c>
      <c r="J10" s="10">
        <v>25</v>
      </c>
    </row>
    <row r="11" spans="1:10" x14ac:dyDescent="0.3">
      <c r="B11" s="7"/>
      <c r="D11">
        <v>57</v>
      </c>
      <c r="E11" t="s">
        <v>74</v>
      </c>
      <c r="F11" s="8" t="s">
        <v>94</v>
      </c>
      <c r="G11" s="9">
        <v>47200000</v>
      </c>
      <c r="H11" t="s">
        <v>75</v>
      </c>
      <c r="I11" s="10">
        <v>4.34</v>
      </c>
      <c r="J11" s="10">
        <v>0</v>
      </c>
    </row>
    <row r="12" spans="1:10" x14ac:dyDescent="0.3">
      <c r="B12" s="7"/>
      <c r="D12">
        <v>58</v>
      </c>
      <c r="E12" t="s">
        <v>76</v>
      </c>
      <c r="F12" s="8" t="s">
        <v>94</v>
      </c>
      <c r="G12" s="9">
        <v>62900000</v>
      </c>
      <c r="H12" t="s">
        <v>70</v>
      </c>
      <c r="I12" s="10">
        <v>20.66</v>
      </c>
      <c r="J12" s="10">
        <v>0</v>
      </c>
    </row>
    <row r="13" spans="1:10" x14ac:dyDescent="0.3">
      <c r="A13">
        <v>3</v>
      </c>
      <c r="B13" s="7" t="s">
        <v>95</v>
      </c>
      <c r="C13">
        <v>11</v>
      </c>
      <c r="D13">
        <v>59</v>
      </c>
      <c r="E13" t="s">
        <v>71</v>
      </c>
      <c r="F13" s="8" t="s">
        <v>96</v>
      </c>
      <c r="G13" s="9">
        <v>41000009</v>
      </c>
      <c r="H13" t="s">
        <v>38</v>
      </c>
      <c r="I13" s="10">
        <v>0</v>
      </c>
      <c r="J13" s="10">
        <v>74.05</v>
      </c>
    </row>
    <row r="14" spans="1:10" x14ac:dyDescent="0.3">
      <c r="B14" s="7"/>
      <c r="D14">
        <v>60</v>
      </c>
      <c r="E14" t="s">
        <v>97</v>
      </c>
      <c r="F14" s="8" t="s">
        <v>96</v>
      </c>
      <c r="G14" s="9">
        <v>47200000</v>
      </c>
      <c r="H14" t="s">
        <v>75</v>
      </c>
      <c r="I14" s="10">
        <v>2.84</v>
      </c>
      <c r="J14" s="10">
        <v>0</v>
      </c>
    </row>
    <row r="15" spans="1:10" x14ac:dyDescent="0.3">
      <c r="B15" s="7"/>
      <c r="D15">
        <v>61</v>
      </c>
      <c r="E15" t="s">
        <v>97</v>
      </c>
      <c r="F15" s="8" t="s">
        <v>96</v>
      </c>
      <c r="G15" s="9">
        <v>47200000</v>
      </c>
      <c r="H15" t="s">
        <v>75</v>
      </c>
      <c r="I15" s="10">
        <v>0.02</v>
      </c>
      <c r="J15" s="10">
        <v>0</v>
      </c>
    </row>
    <row r="16" spans="1:10" x14ac:dyDescent="0.3">
      <c r="B16" s="7"/>
      <c r="D16">
        <v>62</v>
      </c>
      <c r="E16" t="s">
        <v>38</v>
      </c>
      <c r="F16" s="8" t="s">
        <v>96</v>
      </c>
      <c r="G16" s="9">
        <v>62900000</v>
      </c>
      <c r="H16" t="s">
        <v>70</v>
      </c>
      <c r="I16" s="10">
        <v>71.11</v>
      </c>
      <c r="J16" s="10">
        <v>0</v>
      </c>
    </row>
    <row r="17" spans="1:10" x14ac:dyDescent="0.3">
      <c r="B17" s="7"/>
      <c r="D17">
        <v>63</v>
      </c>
      <c r="E17" t="s">
        <v>38</v>
      </c>
      <c r="F17" s="8" t="s">
        <v>96</v>
      </c>
      <c r="G17" s="9">
        <v>62900000</v>
      </c>
      <c r="H17" t="s">
        <v>70</v>
      </c>
      <c r="I17" s="10">
        <v>0.08</v>
      </c>
      <c r="J17" s="10">
        <v>0</v>
      </c>
    </row>
    <row r="18" spans="1:10" x14ac:dyDescent="0.3">
      <c r="A18">
        <v>44</v>
      </c>
      <c r="B18" s="7" t="s">
        <v>98</v>
      </c>
      <c r="C18">
        <v>12</v>
      </c>
      <c r="D18">
        <v>64</v>
      </c>
      <c r="E18" t="s">
        <v>47</v>
      </c>
      <c r="F18" s="8" t="s">
        <v>99</v>
      </c>
      <c r="G18" s="9">
        <v>57200000</v>
      </c>
      <c r="H18" t="s">
        <v>67</v>
      </c>
      <c r="I18" s="10">
        <v>0</v>
      </c>
      <c r="J18" s="10">
        <v>176.06</v>
      </c>
    </row>
    <row r="19" spans="1:10" x14ac:dyDescent="0.3">
      <c r="B19" s="7"/>
      <c r="D19">
        <v>65</v>
      </c>
      <c r="E19" t="s">
        <v>47</v>
      </c>
      <c r="F19" s="8" t="s">
        <v>99</v>
      </c>
      <c r="G19" s="9">
        <v>41000019</v>
      </c>
      <c r="H19" t="s">
        <v>48</v>
      </c>
      <c r="I19" s="10">
        <v>176.06</v>
      </c>
      <c r="J19" s="10">
        <v>0</v>
      </c>
    </row>
    <row r="20" spans="1:10" x14ac:dyDescent="0.3">
      <c r="A20">
        <v>1</v>
      </c>
      <c r="B20" s="7" t="s">
        <v>100</v>
      </c>
      <c r="C20">
        <v>13</v>
      </c>
      <c r="D20">
        <v>66</v>
      </c>
      <c r="E20" t="s">
        <v>71</v>
      </c>
      <c r="F20" s="8" t="s">
        <v>101</v>
      </c>
      <c r="G20" s="9">
        <v>41000023</v>
      </c>
      <c r="H20" t="s">
        <v>102</v>
      </c>
      <c r="I20" s="10">
        <v>0</v>
      </c>
      <c r="J20" s="10">
        <v>49.47</v>
      </c>
    </row>
    <row r="21" spans="1:10" x14ac:dyDescent="0.3">
      <c r="B21" s="7"/>
      <c r="D21">
        <v>67</v>
      </c>
      <c r="E21" t="s">
        <v>103</v>
      </c>
      <c r="F21" s="8" t="s">
        <v>101</v>
      </c>
      <c r="G21" s="9">
        <v>47200000</v>
      </c>
      <c r="H21" t="s">
        <v>75</v>
      </c>
      <c r="I21" s="10">
        <v>1.9</v>
      </c>
      <c r="J21" s="10">
        <v>0</v>
      </c>
    </row>
    <row r="22" spans="1:10" x14ac:dyDescent="0.3">
      <c r="B22" s="7"/>
      <c r="D22">
        <v>68</v>
      </c>
      <c r="E22" t="s">
        <v>104</v>
      </c>
      <c r="F22" s="8" t="s">
        <v>101</v>
      </c>
      <c r="G22" s="9">
        <v>62900000</v>
      </c>
      <c r="H22" t="s">
        <v>70</v>
      </c>
      <c r="I22" s="10">
        <v>47.57</v>
      </c>
      <c r="J22" s="10">
        <v>0</v>
      </c>
    </row>
    <row r="23" spans="1:10" x14ac:dyDescent="0.3">
      <c r="A23">
        <v>11</v>
      </c>
      <c r="B23" s="7" t="s">
        <v>100</v>
      </c>
      <c r="C23">
        <v>14</v>
      </c>
      <c r="D23">
        <v>69</v>
      </c>
      <c r="E23" t="s">
        <v>71</v>
      </c>
      <c r="F23" s="8" t="s">
        <v>105</v>
      </c>
      <c r="G23" s="9">
        <v>41000005</v>
      </c>
      <c r="H23" t="s">
        <v>34</v>
      </c>
      <c r="I23" s="10">
        <v>0</v>
      </c>
      <c r="J23" s="10">
        <v>157.30000000000001</v>
      </c>
    </row>
    <row r="24" spans="1:10" x14ac:dyDescent="0.3">
      <c r="B24" s="7"/>
      <c r="D24">
        <v>70</v>
      </c>
      <c r="E24" t="s">
        <v>82</v>
      </c>
      <c r="F24" s="8" t="s">
        <v>105</v>
      </c>
      <c r="G24" s="9">
        <v>47200000</v>
      </c>
      <c r="H24" t="s">
        <v>75</v>
      </c>
      <c r="I24" s="10">
        <v>27.3</v>
      </c>
      <c r="J24" s="10">
        <v>0</v>
      </c>
    </row>
    <row r="25" spans="1:10" x14ac:dyDescent="0.3">
      <c r="B25" s="7"/>
      <c r="D25">
        <v>71</v>
      </c>
      <c r="E25" t="s">
        <v>33</v>
      </c>
      <c r="F25" s="8" t="s">
        <v>105</v>
      </c>
      <c r="G25" s="9">
        <v>62300000</v>
      </c>
      <c r="H25" t="s">
        <v>83</v>
      </c>
      <c r="I25" s="10">
        <v>130</v>
      </c>
      <c r="J25" s="10">
        <v>0</v>
      </c>
    </row>
    <row r="26" spans="1:10" x14ac:dyDescent="0.3">
      <c r="A26">
        <v>45</v>
      </c>
      <c r="B26" s="7" t="s">
        <v>106</v>
      </c>
      <c r="C26">
        <v>15</v>
      </c>
      <c r="D26">
        <v>72</v>
      </c>
      <c r="E26" t="s">
        <v>33</v>
      </c>
      <c r="F26" s="8" t="s">
        <v>107</v>
      </c>
      <c r="G26" s="9">
        <v>57200000</v>
      </c>
      <c r="H26" t="s">
        <v>67</v>
      </c>
      <c r="I26" s="10">
        <v>0</v>
      </c>
      <c r="J26" s="10">
        <v>157.30000000000001</v>
      </c>
    </row>
    <row r="27" spans="1:10" x14ac:dyDescent="0.3">
      <c r="B27" s="7"/>
      <c r="D27">
        <v>73</v>
      </c>
      <c r="E27" t="s">
        <v>33</v>
      </c>
      <c r="F27" s="8" t="s">
        <v>107</v>
      </c>
      <c r="G27" s="9">
        <v>41000005</v>
      </c>
      <c r="H27" t="s">
        <v>34</v>
      </c>
      <c r="I27" s="10">
        <v>157.30000000000001</v>
      </c>
      <c r="J27" s="10">
        <v>0</v>
      </c>
    </row>
    <row r="28" spans="1:10" x14ac:dyDescent="0.3">
      <c r="B28" s="7"/>
      <c r="F28" s="8" t="s">
        <v>85</v>
      </c>
      <c r="G28" s="9"/>
      <c r="H28" s="12" t="s">
        <v>108</v>
      </c>
      <c r="I28" s="13">
        <f>SUM(I8:I27)</f>
        <v>664.18000000000006</v>
      </c>
      <c r="J28" s="13">
        <f>SUM(J8:J27)</f>
        <v>664.18000000000006</v>
      </c>
    </row>
  </sheetData>
  <pageMargins left="0.75" right="0.75" top="1" bottom="1" header="0.5" footer="0.5"/>
  <pageSetup paperSize="9" fitToHeight="10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D4B4-6B0A-4AFA-9935-30F561850BA6}">
  <sheetPr>
    <pageSetUpPr fitToPage="1"/>
  </sheetPr>
  <dimension ref="A1:J28"/>
  <sheetViews>
    <sheetView workbookViewId="0"/>
  </sheetViews>
  <sheetFormatPr baseColWidth="10" defaultColWidth="8.88671875" defaultRowHeight="14.4" x14ac:dyDescent="0.3"/>
  <cols>
    <col min="1" max="1" width="8" customWidth="1"/>
    <col min="2" max="2" width="11.44140625" customWidth="1"/>
    <col min="3" max="3" width="7.5546875" customWidth="1"/>
    <col min="4" max="4" width="7.109375" customWidth="1"/>
    <col min="5" max="5" width="26.33203125" customWidth="1"/>
    <col min="6" max="6" width="10.6640625" customWidth="1"/>
    <col min="7" max="7" width="9.33203125" customWidth="1"/>
    <col min="8" max="8" width="29.8867187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46</v>
      </c>
      <c r="B8" s="3" t="s">
        <v>109</v>
      </c>
      <c r="C8">
        <v>16</v>
      </c>
      <c r="D8">
        <v>74</v>
      </c>
      <c r="E8" t="s">
        <v>68</v>
      </c>
      <c r="F8" s="4" t="s">
        <v>110</v>
      </c>
      <c r="G8" s="5">
        <v>57200000</v>
      </c>
      <c r="H8" t="s">
        <v>67</v>
      </c>
      <c r="I8" s="6">
        <v>0</v>
      </c>
      <c r="J8" s="6">
        <v>25</v>
      </c>
    </row>
    <row r="9" spans="1:10" x14ac:dyDescent="0.3">
      <c r="B9" s="7"/>
      <c r="D9">
        <v>75</v>
      </c>
      <c r="E9" t="s">
        <v>68</v>
      </c>
      <c r="F9" s="8" t="s">
        <v>110</v>
      </c>
      <c r="G9" s="9">
        <v>62900000</v>
      </c>
      <c r="H9" t="s">
        <v>70</v>
      </c>
      <c r="I9" s="10">
        <v>25</v>
      </c>
      <c r="J9" s="10">
        <v>0</v>
      </c>
    </row>
    <row r="10" spans="1:10" x14ac:dyDescent="0.3">
      <c r="A10">
        <v>8</v>
      </c>
      <c r="B10" s="7" t="s">
        <v>111</v>
      </c>
      <c r="C10">
        <v>17</v>
      </c>
      <c r="D10">
        <v>76</v>
      </c>
      <c r="E10" t="s">
        <v>71</v>
      </c>
      <c r="F10" s="8" t="s">
        <v>112</v>
      </c>
      <c r="G10" s="9">
        <v>41000024</v>
      </c>
      <c r="H10" t="s">
        <v>73</v>
      </c>
      <c r="I10" s="10">
        <v>0</v>
      </c>
      <c r="J10" s="10">
        <v>25</v>
      </c>
    </row>
    <row r="11" spans="1:10" x14ac:dyDescent="0.3">
      <c r="B11" s="7"/>
      <c r="D11">
        <v>77</v>
      </c>
      <c r="E11" t="s">
        <v>74</v>
      </c>
      <c r="F11" s="8" t="s">
        <v>112</v>
      </c>
      <c r="G11" s="9">
        <v>47200000</v>
      </c>
      <c r="H11" t="s">
        <v>75</v>
      </c>
      <c r="I11" s="10">
        <v>4.34</v>
      </c>
      <c r="J11" s="10">
        <v>0</v>
      </c>
    </row>
    <row r="12" spans="1:10" x14ac:dyDescent="0.3">
      <c r="B12" s="7"/>
      <c r="D12">
        <v>78</v>
      </c>
      <c r="E12" t="s">
        <v>76</v>
      </c>
      <c r="F12" s="8" t="s">
        <v>112</v>
      </c>
      <c r="G12" s="9">
        <v>62900000</v>
      </c>
      <c r="H12" t="s">
        <v>70</v>
      </c>
      <c r="I12" s="10">
        <v>20.66</v>
      </c>
      <c r="J12" s="10">
        <v>0</v>
      </c>
    </row>
    <row r="13" spans="1:10" x14ac:dyDescent="0.3">
      <c r="A13">
        <v>4</v>
      </c>
      <c r="B13" s="7" t="s">
        <v>113</v>
      </c>
      <c r="C13">
        <v>18</v>
      </c>
      <c r="D13">
        <v>79</v>
      </c>
      <c r="E13" t="s">
        <v>71</v>
      </c>
      <c r="F13" s="8" t="s">
        <v>114</v>
      </c>
      <c r="G13" s="9">
        <v>41000019</v>
      </c>
      <c r="H13" t="s">
        <v>48</v>
      </c>
      <c r="I13" s="10">
        <v>0</v>
      </c>
      <c r="J13" s="10">
        <v>199.48</v>
      </c>
    </row>
    <row r="14" spans="1:10" x14ac:dyDescent="0.3">
      <c r="B14" s="7"/>
      <c r="D14">
        <v>80</v>
      </c>
      <c r="E14" t="s">
        <v>115</v>
      </c>
      <c r="F14" s="8" t="s">
        <v>114</v>
      </c>
      <c r="G14" s="9">
        <v>47200000</v>
      </c>
      <c r="H14" t="s">
        <v>75</v>
      </c>
      <c r="I14" s="10">
        <v>34.619999999999997</v>
      </c>
      <c r="J14" s="10">
        <v>0</v>
      </c>
    </row>
    <row r="15" spans="1:10" x14ac:dyDescent="0.3">
      <c r="B15" s="7"/>
      <c r="D15">
        <v>81</v>
      </c>
      <c r="E15" t="s">
        <v>47</v>
      </c>
      <c r="F15" s="8" t="s">
        <v>114</v>
      </c>
      <c r="G15" s="9">
        <v>62840000</v>
      </c>
      <c r="H15" t="s">
        <v>116</v>
      </c>
      <c r="I15" s="10">
        <v>164.86</v>
      </c>
      <c r="J15" s="10">
        <v>0</v>
      </c>
    </row>
    <row r="16" spans="1:10" x14ac:dyDescent="0.3">
      <c r="A16">
        <v>5</v>
      </c>
      <c r="B16" s="7" t="s">
        <v>113</v>
      </c>
      <c r="C16">
        <v>19</v>
      </c>
      <c r="D16">
        <v>82</v>
      </c>
      <c r="E16" t="s">
        <v>71</v>
      </c>
      <c r="F16" s="8" t="s">
        <v>117</v>
      </c>
      <c r="G16" s="9">
        <v>41000019</v>
      </c>
      <c r="H16" t="s">
        <v>48</v>
      </c>
      <c r="I16" s="10">
        <v>0</v>
      </c>
      <c r="J16" s="10">
        <v>176.06</v>
      </c>
    </row>
    <row r="17" spans="1:10" x14ac:dyDescent="0.3">
      <c r="B17" s="7"/>
      <c r="D17">
        <v>83</v>
      </c>
      <c r="E17" t="s">
        <v>115</v>
      </c>
      <c r="F17" s="8" t="s">
        <v>117</v>
      </c>
      <c r="G17" s="9">
        <v>47200000</v>
      </c>
      <c r="H17" t="s">
        <v>75</v>
      </c>
      <c r="I17" s="10">
        <v>30.56</v>
      </c>
      <c r="J17" s="10">
        <v>0</v>
      </c>
    </row>
    <row r="18" spans="1:10" x14ac:dyDescent="0.3">
      <c r="B18" s="7"/>
      <c r="D18">
        <v>84</v>
      </c>
      <c r="E18" t="s">
        <v>47</v>
      </c>
      <c r="F18" s="8" t="s">
        <v>117</v>
      </c>
      <c r="G18" s="9">
        <v>62840000</v>
      </c>
      <c r="H18" t="s">
        <v>116</v>
      </c>
      <c r="I18" s="10">
        <v>145.5</v>
      </c>
      <c r="J18" s="10">
        <v>0</v>
      </c>
    </row>
    <row r="19" spans="1:10" x14ac:dyDescent="0.3">
      <c r="A19">
        <v>47</v>
      </c>
      <c r="B19" s="7" t="s">
        <v>113</v>
      </c>
      <c r="C19">
        <v>20</v>
      </c>
      <c r="D19">
        <v>85</v>
      </c>
      <c r="E19" t="s">
        <v>47</v>
      </c>
      <c r="F19" s="8" t="s">
        <v>118</v>
      </c>
      <c r="G19" s="9">
        <v>57200000</v>
      </c>
      <c r="H19" t="s">
        <v>67</v>
      </c>
      <c r="I19" s="10">
        <v>0</v>
      </c>
      <c r="J19" s="10">
        <v>199.48</v>
      </c>
    </row>
    <row r="20" spans="1:10" x14ac:dyDescent="0.3">
      <c r="B20" s="7"/>
      <c r="D20">
        <v>86</v>
      </c>
      <c r="E20" t="s">
        <v>47</v>
      </c>
      <c r="F20" s="8" t="s">
        <v>118</v>
      </c>
      <c r="G20" s="9">
        <v>41000019</v>
      </c>
      <c r="H20" t="s">
        <v>48</v>
      </c>
      <c r="I20" s="10">
        <v>199.48</v>
      </c>
      <c r="J20" s="10">
        <v>0</v>
      </c>
    </row>
    <row r="21" spans="1:10" x14ac:dyDescent="0.3">
      <c r="A21">
        <v>12</v>
      </c>
      <c r="B21" s="7" t="s">
        <v>119</v>
      </c>
      <c r="C21">
        <v>21</v>
      </c>
      <c r="D21">
        <v>87</v>
      </c>
      <c r="E21" t="s">
        <v>71</v>
      </c>
      <c r="F21" s="8" t="s">
        <v>120</v>
      </c>
      <c r="G21" s="9">
        <v>41000005</v>
      </c>
      <c r="H21" t="s">
        <v>34</v>
      </c>
      <c r="I21" s="10">
        <v>0</v>
      </c>
      <c r="J21" s="10">
        <v>157.30000000000001</v>
      </c>
    </row>
    <row r="22" spans="1:10" x14ac:dyDescent="0.3">
      <c r="B22" s="7"/>
      <c r="D22">
        <v>88</v>
      </c>
      <c r="E22" t="s">
        <v>82</v>
      </c>
      <c r="F22" s="8" t="s">
        <v>120</v>
      </c>
      <c r="G22" s="9">
        <v>47200000</v>
      </c>
      <c r="H22" t="s">
        <v>75</v>
      </c>
      <c r="I22" s="10">
        <v>27.3</v>
      </c>
      <c r="J22" s="10">
        <v>0</v>
      </c>
    </row>
    <row r="23" spans="1:10" x14ac:dyDescent="0.3">
      <c r="B23" s="7"/>
      <c r="D23">
        <v>89</v>
      </c>
      <c r="E23" t="s">
        <v>33</v>
      </c>
      <c r="F23" s="8" t="s">
        <v>120</v>
      </c>
      <c r="G23" s="9">
        <v>62300000</v>
      </c>
      <c r="H23" t="s">
        <v>83</v>
      </c>
      <c r="I23" s="10">
        <v>130</v>
      </c>
      <c r="J23" s="10">
        <v>0</v>
      </c>
    </row>
    <row r="24" spans="1:10" x14ac:dyDescent="0.3">
      <c r="A24">
        <v>48</v>
      </c>
      <c r="B24" s="7" t="s">
        <v>121</v>
      </c>
      <c r="C24">
        <v>22</v>
      </c>
      <c r="D24">
        <v>90</v>
      </c>
      <c r="E24" t="s">
        <v>33</v>
      </c>
      <c r="F24" s="8" t="s">
        <v>122</v>
      </c>
      <c r="G24" s="9">
        <v>57200000</v>
      </c>
      <c r="H24" t="s">
        <v>67</v>
      </c>
      <c r="I24" s="10">
        <v>0</v>
      </c>
      <c r="J24" s="10">
        <v>157.30000000000001</v>
      </c>
    </row>
    <row r="25" spans="1:10" x14ac:dyDescent="0.3">
      <c r="B25" s="7"/>
      <c r="D25">
        <v>91</v>
      </c>
      <c r="E25" t="s">
        <v>33</v>
      </c>
      <c r="F25" s="8" t="s">
        <v>122</v>
      </c>
      <c r="G25" s="9">
        <v>41000005</v>
      </c>
      <c r="H25" t="s">
        <v>34</v>
      </c>
      <c r="I25" s="10">
        <v>157.30000000000001</v>
      </c>
      <c r="J25" s="10">
        <v>0</v>
      </c>
    </row>
    <row r="26" spans="1:10" x14ac:dyDescent="0.3">
      <c r="A26">
        <v>13</v>
      </c>
      <c r="B26" s="7" t="s">
        <v>123</v>
      </c>
      <c r="C26">
        <v>23</v>
      </c>
      <c r="D26">
        <v>92</v>
      </c>
      <c r="E26" t="s">
        <v>124</v>
      </c>
      <c r="F26" s="8" t="s">
        <v>10</v>
      </c>
      <c r="G26" s="9">
        <v>47200000</v>
      </c>
      <c r="H26" t="s">
        <v>75</v>
      </c>
      <c r="I26" s="10">
        <v>0</v>
      </c>
      <c r="J26" s="10">
        <v>164.86</v>
      </c>
    </row>
    <row r="27" spans="1:10" x14ac:dyDescent="0.3">
      <c r="B27" s="7"/>
      <c r="D27">
        <v>93</v>
      </c>
      <c r="E27" t="s">
        <v>124</v>
      </c>
      <c r="F27" s="8" t="s">
        <v>10</v>
      </c>
      <c r="G27" s="9">
        <v>47000000</v>
      </c>
      <c r="H27" t="s">
        <v>59</v>
      </c>
      <c r="I27" s="10">
        <v>164.86</v>
      </c>
      <c r="J27" s="10">
        <v>0</v>
      </c>
    </row>
    <row r="28" spans="1:10" x14ac:dyDescent="0.3">
      <c r="B28" s="7"/>
      <c r="F28" s="8" t="s">
        <v>85</v>
      </c>
      <c r="G28" s="9"/>
      <c r="H28" s="12" t="s">
        <v>125</v>
      </c>
      <c r="I28" s="13">
        <f>SUM(I8:I27)</f>
        <v>1104.48</v>
      </c>
      <c r="J28" s="13">
        <f>SUM(J8:J27)</f>
        <v>1104.48</v>
      </c>
    </row>
  </sheetData>
  <pageMargins left="0.75" right="0.75" top="1" bottom="1" header="0.5" footer="0.5"/>
  <pageSetup paperSize="9" fitToHeight="10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323C-5129-49D1-B487-9AFCD7B1C946}">
  <sheetPr>
    <pageSetUpPr fitToPage="1"/>
  </sheetPr>
  <dimension ref="A1:J32"/>
  <sheetViews>
    <sheetView workbookViewId="0"/>
  </sheetViews>
  <sheetFormatPr baseColWidth="10" defaultColWidth="8.88671875" defaultRowHeight="14.4" x14ac:dyDescent="0.3"/>
  <cols>
    <col min="1" max="1" width="8" customWidth="1"/>
    <col min="2" max="2" width="10.109375" customWidth="1"/>
    <col min="3" max="3" width="7.5546875" customWidth="1"/>
    <col min="4" max="4" width="7.109375" customWidth="1"/>
    <col min="5" max="5" width="26.33203125" customWidth="1"/>
    <col min="6" max="6" width="10.6640625" customWidth="1"/>
    <col min="7" max="7" width="9.33203125" customWidth="1"/>
    <col min="8" max="8" width="29.3320312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20</v>
      </c>
      <c r="B8" s="3">
        <v>45017</v>
      </c>
      <c r="C8">
        <v>24</v>
      </c>
      <c r="D8">
        <v>94</v>
      </c>
      <c r="E8" t="s">
        <v>126</v>
      </c>
      <c r="F8" s="4" t="s">
        <v>127</v>
      </c>
      <c r="G8" s="5">
        <v>43000015</v>
      </c>
      <c r="H8" t="s">
        <v>128</v>
      </c>
      <c r="I8" s="6">
        <v>290.39999999999998</v>
      </c>
      <c r="J8" s="6">
        <v>0</v>
      </c>
    </row>
    <row r="9" spans="1:10" x14ac:dyDescent="0.3">
      <c r="B9" s="7"/>
      <c r="D9">
        <v>95</v>
      </c>
      <c r="E9" t="s">
        <v>129</v>
      </c>
      <c r="F9" s="8" t="s">
        <v>127</v>
      </c>
      <c r="G9" s="9">
        <v>47700000</v>
      </c>
      <c r="H9" t="s">
        <v>130</v>
      </c>
      <c r="I9" s="10">
        <v>0</v>
      </c>
      <c r="J9" s="10">
        <v>50.4</v>
      </c>
    </row>
    <row r="10" spans="1:10" x14ac:dyDescent="0.3">
      <c r="B10" s="7"/>
      <c r="D10">
        <v>96</v>
      </c>
      <c r="E10" t="s">
        <v>128</v>
      </c>
      <c r="F10" s="8" t="s">
        <v>127</v>
      </c>
      <c r="G10" s="9">
        <v>70500000</v>
      </c>
      <c r="H10" t="s">
        <v>131</v>
      </c>
      <c r="I10" s="10">
        <v>0</v>
      </c>
      <c r="J10" s="10">
        <v>240</v>
      </c>
    </row>
    <row r="11" spans="1:10" x14ac:dyDescent="0.3">
      <c r="A11">
        <v>32</v>
      </c>
      <c r="B11" s="7">
        <v>45017</v>
      </c>
      <c r="C11">
        <v>25</v>
      </c>
      <c r="D11">
        <v>97</v>
      </c>
      <c r="E11" t="s">
        <v>71</v>
      </c>
      <c r="F11" s="8" t="s">
        <v>132</v>
      </c>
      <c r="G11" s="9">
        <v>41000019</v>
      </c>
      <c r="H11" t="s">
        <v>48</v>
      </c>
      <c r="I11" s="10">
        <v>0</v>
      </c>
      <c r="J11" s="10">
        <v>219.22</v>
      </c>
    </row>
    <row r="12" spans="1:10" x14ac:dyDescent="0.3">
      <c r="B12" s="7"/>
      <c r="D12">
        <v>98</v>
      </c>
      <c r="E12" t="s">
        <v>115</v>
      </c>
      <c r="F12" s="8" t="s">
        <v>132</v>
      </c>
      <c r="G12" s="9">
        <v>47200000</v>
      </c>
      <c r="H12" t="s">
        <v>75</v>
      </c>
      <c r="I12" s="10">
        <v>38.049999999999997</v>
      </c>
      <c r="J12" s="10">
        <v>0</v>
      </c>
    </row>
    <row r="13" spans="1:10" x14ac:dyDescent="0.3">
      <c r="B13" s="7"/>
      <c r="D13">
        <v>99</v>
      </c>
      <c r="E13" t="s">
        <v>47</v>
      </c>
      <c r="F13" s="8" t="s">
        <v>132</v>
      </c>
      <c r="G13" s="9">
        <v>62840000</v>
      </c>
      <c r="H13" t="s">
        <v>116</v>
      </c>
      <c r="I13" s="10">
        <v>181.17</v>
      </c>
      <c r="J13" s="10">
        <v>0</v>
      </c>
    </row>
    <row r="14" spans="1:10" x14ac:dyDescent="0.3">
      <c r="A14">
        <v>2</v>
      </c>
      <c r="B14" s="7">
        <v>45031</v>
      </c>
      <c r="C14">
        <v>26</v>
      </c>
      <c r="D14">
        <v>100</v>
      </c>
      <c r="E14" t="s">
        <v>71</v>
      </c>
      <c r="F14" s="8" t="s">
        <v>133</v>
      </c>
      <c r="G14" s="9">
        <v>41000012</v>
      </c>
      <c r="H14" t="s">
        <v>39</v>
      </c>
      <c r="I14" s="10">
        <v>0</v>
      </c>
      <c r="J14" s="10">
        <v>142.99</v>
      </c>
    </row>
    <row r="15" spans="1:10" x14ac:dyDescent="0.3">
      <c r="B15" s="7"/>
      <c r="D15">
        <v>101</v>
      </c>
      <c r="E15" t="s">
        <v>134</v>
      </c>
      <c r="F15" s="8" t="s">
        <v>133</v>
      </c>
      <c r="G15" s="9">
        <v>47200000</v>
      </c>
      <c r="H15" t="s">
        <v>75</v>
      </c>
      <c r="I15" s="10">
        <v>10.91</v>
      </c>
      <c r="J15" s="10">
        <v>0</v>
      </c>
    </row>
    <row r="16" spans="1:10" x14ac:dyDescent="0.3">
      <c r="B16" s="7"/>
      <c r="D16">
        <v>102</v>
      </c>
      <c r="E16" t="s">
        <v>39</v>
      </c>
      <c r="F16" s="8" t="s">
        <v>133</v>
      </c>
      <c r="G16" s="9">
        <v>62900002</v>
      </c>
      <c r="H16" t="s">
        <v>135</v>
      </c>
      <c r="I16" s="10">
        <v>109.08</v>
      </c>
      <c r="J16" s="10">
        <v>0</v>
      </c>
    </row>
    <row r="17" spans="1:10" x14ac:dyDescent="0.3">
      <c r="B17" s="7"/>
      <c r="D17">
        <v>103</v>
      </c>
      <c r="E17" t="s">
        <v>39</v>
      </c>
      <c r="F17" s="8" t="s">
        <v>133</v>
      </c>
      <c r="G17" s="9">
        <v>60000000</v>
      </c>
      <c r="H17" t="s">
        <v>136</v>
      </c>
      <c r="I17" s="10">
        <v>23</v>
      </c>
      <c r="J17" s="10">
        <v>0</v>
      </c>
    </row>
    <row r="18" spans="1:10" x14ac:dyDescent="0.3">
      <c r="A18">
        <v>29</v>
      </c>
      <c r="B18" s="7">
        <v>45031</v>
      </c>
      <c r="C18">
        <v>27</v>
      </c>
      <c r="D18">
        <v>104</v>
      </c>
      <c r="E18" t="s">
        <v>71</v>
      </c>
      <c r="F18" s="8" t="s">
        <v>137</v>
      </c>
      <c r="G18" s="9">
        <v>41000012</v>
      </c>
      <c r="H18" t="s">
        <v>39</v>
      </c>
      <c r="I18" s="10">
        <v>0</v>
      </c>
      <c r="J18" s="10">
        <v>59.99</v>
      </c>
    </row>
    <row r="19" spans="1:10" x14ac:dyDescent="0.3">
      <c r="B19" s="7"/>
      <c r="D19">
        <v>105</v>
      </c>
      <c r="E19" t="s">
        <v>39</v>
      </c>
      <c r="F19" s="8" t="s">
        <v>137</v>
      </c>
      <c r="G19" s="9">
        <v>60000000</v>
      </c>
      <c r="H19" t="s">
        <v>136</v>
      </c>
      <c r="I19" s="10">
        <v>59.99</v>
      </c>
      <c r="J19" s="10">
        <v>0</v>
      </c>
    </row>
    <row r="20" spans="1:10" x14ac:dyDescent="0.3">
      <c r="A20">
        <v>30</v>
      </c>
      <c r="B20" s="7">
        <v>45031</v>
      </c>
      <c r="C20">
        <v>28</v>
      </c>
      <c r="D20">
        <v>106</v>
      </c>
      <c r="E20" t="s">
        <v>71</v>
      </c>
      <c r="F20" s="8" t="s">
        <v>138</v>
      </c>
      <c r="G20" s="9">
        <v>41000012</v>
      </c>
      <c r="H20" t="s">
        <v>39</v>
      </c>
      <c r="I20" s="10">
        <v>0</v>
      </c>
      <c r="J20" s="10">
        <v>169.99</v>
      </c>
    </row>
    <row r="21" spans="1:10" x14ac:dyDescent="0.3">
      <c r="B21" s="7"/>
      <c r="D21">
        <v>107</v>
      </c>
      <c r="E21" t="s">
        <v>39</v>
      </c>
      <c r="F21" s="8" t="s">
        <v>138</v>
      </c>
      <c r="G21" s="9">
        <v>60000000</v>
      </c>
      <c r="H21" t="s">
        <v>136</v>
      </c>
      <c r="I21" s="10">
        <v>169.99</v>
      </c>
      <c r="J21" s="10">
        <v>0</v>
      </c>
    </row>
    <row r="22" spans="1:10" x14ac:dyDescent="0.3">
      <c r="A22">
        <v>31</v>
      </c>
      <c r="B22" s="7">
        <v>45031</v>
      </c>
      <c r="C22">
        <v>29</v>
      </c>
      <c r="D22">
        <v>108</v>
      </c>
      <c r="E22" t="s">
        <v>71</v>
      </c>
      <c r="F22" s="8" t="s">
        <v>139</v>
      </c>
      <c r="G22" s="9">
        <v>41000012</v>
      </c>
      <c r="H22" t="s">
        <v>39</v>
      </c>
      <c r="I22" s="10">
        <v>0</v>
      </c>
      <c r="J22" s="10">
        <v>204.98</v>
      </c>
    </row>
    <row r="23" spans="1:10" x14ac:dyDescent="0.3">
      <c r="B23" s="7"/>
      <c r="D23">
        <v>109</v>
      </c>
      <c r="E23" t="s">
        <v>134</v>
      </c>
      <c r="F23" s="8" t="s">
        <v>139</v>
      </c>
      <c r="G23" s="9">
        <v>47200000</v>
      </c>
      <c r="H23" t="s">
        <v>75</v>
      </c>
      <c r="I23" s="10">
        <v>18.63</v>
      </c>
      <c r="J23" s="10">
        <v>0</v>
      </c>
    </row>
    <row r="24" spans="1:10" x14ac:dyDescent="0.3">
      <c r="B24" s="7"/>
      <c r="D24">
        <v>110</v>
      </c>
      <c r="E24" t="s">
        <v>39</v>
      </c>
      <c r="F24" s="8" t="s">
        <v>139</v>
      </c>
      <c r="G24" s="9">
        <v>60000000</v>
      </c>
      <c r="H24" t="s">
        <v>136</v>
      </c>
      <c r="I24" s="10">
        <v>186.35</v>
      </c>
      <c r="J24" s="10">
        <v>0</v>
      </c>
    </row>
    <row r="25" spans="1:10" x14ac:dyDescent="0.3">
      <c r="A25">
        <v>49</v>
      </c>
      <c r="B25" s="7">
        <v>45035</v>
      </c>
      <c r="C25">
        <v>30</v>
      </c>
      <c r="D25">
        <v>111</v>
      </c>
      <c r="E25" t="s">
        <v>47</v>
      </c>
      <c r="F25" s="8" t="s">
        <v>140</v>
      </c>
      <c r="G25" s="9">
        <v>57200000</v>
      </c>
      <c r="H25" t="s">
        <v>67</v>
      </c>
      <c r="I25" s="10">
        <v>40.200000000000003</v>
      </c>
      <c r="J25" s="10">
        <v>0</v>
      </c>
    </row>
    <row r="26" spans="1:10" x14ac:dyDescent="0.3">
      <c r="B26" s="7"/>
      <c r="D26">
        <v>112</v>
      </c>
      <c r="E26" t="s">
        <v>47</v>
      </c>
      <c r="F26" s="8" t="s">
        <v>140</v>
      </c>
      <c r="G26" s="9">
        <v>41000019</v>
      </c>
      <c r="H26" t="s">
        <v>48</v>
      </c>
      <c r="I26" s="10">
        <v>0</v>
      </c>
      <c r="J26" s="10">
        <v>40.200000000000003</v>
      </c>
    </row>
    <row r="27" spans="1:10" x14ac:dyDescent="0.3">
      <c r="A27">
        <v>87</v>
      </c>
      <c r="B27" s="7">
        <v>45035</v>
      </c>
      <c r="C27">
        <v>31</v>
      </c>
      <c r="D27">
        <v>113</v>
      </c>
      <c r="E27" t="s">
        <v>141</v>
      </c>
      <c r="F27" s="8" t="s">
        <v>85</v>
      </c>
      <c r="G27" s="9">
        <v>57200000</v>
      </c>
      <c r="H27" t="s">
        <v>67</v>
      </c>
      <c r="I27" s="10">
        <v>0</v>
      </c>
      <c r="J27" s="10">
        <v>212.46</v>
      </c>
    </row>
    <row r="28" spans="1:10" x14ac:dyDescent="0.3">
      <c r="B28" s="7"/>
      <c r="D28">
        <v>114</v>
      </c>
      <c r="E28" t="s">
        <v>141</v>
      </c>
      <c r="F28" s="8" t="s">
        <v>85</v>
      </c>
      <c r="G28" s="9">
        <v>55500000</v>
      </c>
      <c r="H28" t="s">
        <v>66</v>
      </c>
      <c r="I28" s="10">
        <v>212.46</v>
      </c>
      <c r="J28" s="10">
        <v>0</v>
      </c>
    </row>
    <row r="29" spans="1:10" x14ac:dyDescent="0.3">
      <c r="A29">
        <v>14</v>
      </c>
      <c r="B29" s="7">
        <v>45040</v>
      </c>
      <c r="C29">
        <v>32</v>
      </c>
      <c r="D29">
        <v>115</v>
      </c>
      <c r="E29" t="s">
        <v>142</v>
      </c>
      <c r="F29" s="8" t="s">
        <v>143</v>
      </c>
      <c r="G29" s="9">
        <v>41000005</v>
      </c>
      <c r="H29" t="s">
        <v>34</v>
      </c>
      <c r="I29" s="10">
        <v>0</v>
      </c>
      <c r="J29" s="10">
        <v>157.30000000000001</v>
      </c>
    </row>
    <row r="30" spans="1:10" x14ac:dyDescent="0.3">
      <c r="B30" s="7"/>
      <c r="D30">
        <v>116</v>
      </c>
      <c r="E30" t="s">
        <v>82</v>
      </c>
      <c r="F30" s="8" t="s">
        <v>143</v>
      </c>
      <c r="G30" s="9">
        <v>47200000</v>
      </c>
      <c r="H30" t="s">
        <v>75</v>
      </c>
      <c r="I30" s="10">
        <v>27.3</v>
      </c>
      <c r="J30" s="10">
        <v>0</v>
      </c>
    </row>
    <row r="31" spans="1:10" x14ac:dyDescent="0.3">
      <c r="B31" s="7"/>
      <c r="D31">
        <v>117</v>
      </c>
      <c r="E31" t="s">
        <v>33</v>
      </c>
      <c r="F31" s="8" t="s">
        <v>143</v>
      </c>
      <c r="G31" s="9">
        <v>62900025</v>
      </c>
      <c r="H31" t="s">
        <v>144</v>
      </c>
      <c r="I31" s="10">
        <v>130</v>
      </c>
      <c r="J31" s="10">
        <v>0</v>
      </c>
    </row>
    <row r="32" spans="1:10" x14ac:dyDescent="0.3">
      <c r="B32" s="7"/>
      <c r="F32" s="8" t="s">
        <v>85</v>
      </c>
      <c r="G32" s="9"/>
      <c r="H32" s="12" t="s">
        <v>145</v>
      </c>
      <c r="I32" s="13">
        <f>SUM(I8:I31)</f>
        <v>1497.53</v>
      </c>
      <c r="J32" s="13">
        <f>SUM(J8:J31)</f>
        <v>1497.53</v>
      </c>
    </row>
  </sheetData>
  <pageMargins left="0.75" right="0.75" top="1" bottom="1" header="0.5" footer="0.5"/>
  <pageSetup paperSize="9" fitToHeight="10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D476-1A73-4645-8470-AEA32A9BE06A}">
  <sheetPr>
    <pageSetUpPr fitToPage="1"/>
  </sheetPr>
  <dimension ref="A1:J35"/>
  <sheetViews>
    <sheetView workbookViewId="0"/>
  </sheetViews>
  <sheetFormatPr baseColWidth="10" defaultColWidth="8.88671875" defaultRowHeight="14.4" x14ac:dyDescent="0.3"/>
  <cols>
    <col min="1" max="1" width="8" customWidth="1"/>
    <col min="2" max="2" width="11.33203125" customWidth="1"/>
    <col min="3" max="3" width="7.5546875" customWidth="1"/>
    <col min="4" max="4" width="7.109375" customWidth="1"/>
    <col min="5" max="5" width="26.6640625" customWidth="1"/>
    <col min="6" max="6" width="10.6640625" customWidth="1"/>
    <col min="7" max="7" width="9.33203125" customWidth="1"/>
    <col min="8" max="8" width="30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33</v>
      </c>
      <c r="B8" s="3" t="s">
        <v>146</v>
      </c>
      <c r="C8">
        <v>33</v>
      </c>
      <c r="D8">
        <v>118</v>
      </c>
      <c r="E8" t="s">
        <v>71</v>
      </c>
      <c r="F8" s="4" t="s">
        <v>147</v>
      </c>
      <c r="G8" s="5">
        <v>41000019</v>
      </c>
      <c r="H8" t="s">
        <v>48</v>
      </c>
      <c r="I8" s="6">
        <v>0</v>
      </c>
      <c r="J8" s="6">
        <v>161.08000000000001</v>
      </c>
    </row>
    <row r="9" spans="1:10" x14ac:dyDescent="0.3">
      <c r="B9" s="7"/>
      <c r="D9">
        <v>119</v>
      </c>
      <c r="E9" t="s">
        <v>115</v>
      </c>
      <c r="F9" s="8" t="s">
        <v>147</v>
      </c>
      <c r="G9" s="9">
        <v>47200000</v>
      </c>
      <c r="H9" t="s">
        <v>75</v>
      </c>
      <c r="I9" s="10">
        <v>27.96</v>
      </c>
      <c r="J9" s="10">
        <v>0</v>
      </c>
    </row>
    <row r="10" spans="1:10" x14ac:dyDescent="0.3">
      <c r="B10" s="7"/>
      <c r="D10">
        <v>120</v>
      </c>
      <c r="E10" t="s">
        <v>47</v>
      </c>
      <c r="F10" s="8" t="s">
        <v>147</v>
      </c>
      <c r="G10" s="9">
        <v>62840000</v>
      </c>
      <c r="H10" t="s">
        <v>116</v>
      </c>
      <c r="I10" s="10">
        <v>133.12</v>
      </c>
      <c r="J10" s="10">
        <v>0</v>
      </c>
    </row>
    <row r="11" spans="1:10" x14ac:dyDescent="0.3">
      <c r="A11">
        <v>50</v>
      </c>
      <c r="B11" s="7" t="s">
        <v>148</v>
      </c>
      <c r="C11">
        <v>34</v>
      </c>
      <c r="D11">
        <v>121</v>
      </c>
      <c r="E11" t="s">
        <v>33</v>
      </c>
      <c r="F11" s="8" t="s">
        <v>149</v>
      </c>
      <c r="G11" s="9">
        <v>57200000</v>
      </c>
      <c r="H11" t="s">
        <v>67</v>
      </c>
      <c r="I11" s="10">
        <v>0</v>
      </c>
      <c r="J11" s="10">
        <v>157.30000000000001</v>
      </c>
    </row>
    <row r="12" spans="1:10" x14ac:dyDescent="0.3">
      <c r="B12" s="7"/>
      <c r="D12">
        <v>122</v>
      </c>
      <c r="E12" t="s">
        <v>33</v>
      </c>
      <c r="F12" s="8" t="s">
        <v>149</v>
      </c>
      <c r="G12" s="9">
        <v>41000005</v>
      </c>
      <c r="H12" t="s">
        <v>34</v>
      </c>
      <c r="I12" s="10">
        <v>157.30000000000001</v>
      </c>
      <c r="J12" s="10">
        <v>0</v>
      </c>
    </row>
    <row r="13" spans="1:10" x14ac:dyDescent="0.3">
      <c r="A13">
        <v>51</v>
      </c>
      <c r="B13" s="7" t="s">
        <v>148</v>
      </c>
      <c r="C13">
        <v>35</v>
      </c>
      <c r="D13">
        <v>123</v>
      </c>
      <c r="E13" t="s">
        <v>68</v>
      </c>
      <c r="F13" s="8" t="s">
        <v>150</v>
      </c>
      <c r="G13" s="9">
        <v>57200000</v>
      </c>
      <c r="H13" t="s">
        <v>67</v>
      </c>
      <c r="I13" s="10">
        <v>0</v>
      </c>
      <c r="J13" s="10">
        <v>25</v>
      </c>
    </row>
    <row r="14" spans="1:10" x14ac:dyDescent="0.3">
      <c r="B14" s="7"/>
      <c r="D14">
        <v>124</v>
      </c>
      <c r="E14" t="s">
        <v>68</v>
      </c>
      <c r="F14" s="8" t="s">
        <v>150</v>
      </c>
      <c r="G14" s="9">
        <v>62900000</v>
      </c>
      <c r="H14" t="s">
        <v>70</v>
      </c>
      <c r="I14" s="10">
        <v>25</v>
      </c>
      <c r="J14" s="10">
        <v>0</v>
      </c>
    </row>
    <row r="15" spans="1:10" x14ac:dyDescent="0.3">
      <c r="A15">
        <v>27</v>
      </c>
      <c r="B15" s="7" t="s">
        <v>151</v>
      </c>
      <c r="C15">
        <v>36</v>
      </c>
      <c r="D15">
        <v>125</v>
      </c>
      <c r="E15" t="s">
        <v>152</v>
      </c>
      <c r="F15" s="8" t="s">
        <v>153</v>
      </c>
      <c r="G15" s="9">
        <v>41000000</v>
      </c>
      <c r="H15" t="s">
        <v>154</v>
      </c>
      <c r="I15" s="10">
        <v>0</v>
      </c>
      <c r="J15" s="10">
        <v>17.95</v>
      </c>
    </row>
    <row r="16" spans="1:10" x14ac:dyDescent="0.3">
      <c r="B16" s="7"/>
      <c r="D16">
        <v>126</v>
      </c>
      <c r="E16" t="s">
        <v>155</v>
      </c>
      <c r="F16" s="8" t="s">
        <v>153</v>
      </c>
      <c r="G16" s="9">
        <v>47200000</v>
      </c>
      <c r="H16" t="s">
        <v>75</v>
      </c>
      <c r="I16" s="10">
        <v>0.69</v>
      </c>
      <c r="J16" s="10">
        <v>0</v>
      </c>
    </row>
    <row r="17" spans="1:10" x14ac:dyDescent="0.3">
      <c r="B17" s="7"/>
      <c r="D17">
        <v>127</v>
      </c>
      <c r="E17" t="s">
        <v>156</v>
      </c>
      <c r="F17" s="8" t="s">
        <v>153</v>
      </c>
      <c r="G17" s="9">
        <v>21700000</v>
      </c>
      <c r="H17" t="s">
        <v>23</v>
      </c>
      <c r="I17" s="10">
        <v>17.260000000000002</v>
      </c>
      <c r="J17" s="10">
        <v>0</v>
      </c>
    </row>
    <row r="18" spans="1:10" x14ac:dyDescent="0.3">
      <c r="A18">
        <v>21</v>
      </c>
      <c r="B18" s="7" t="s">
        <v>157</v>
      </c>
      <c r="C18">
        <v>37</v>
      </c>
      <c r="D18">
        <v>128</v>
      </c>
      <c r="E18" t="s">
        <v>126</v>
      </c>
      <c r="F18" s="8" t="s">
        <v>158</v>
      </c>
      <c r="G18" s="9">
        <v>43000013</v>
      </c>
      <c r="H18" t="s">
        <v>57</v>
      </c>
      <c r="I18" s="10">
        <v>300</v>
      </c>
      <c r="J18" s="10">
        <v>0</v>
      </c>
    </row>
    <row r="19" spans="1:10" x14ac:dyDescent="0.3">
      <c r="B19" s="7"/>
      <c r="D19">
        <v>129</v>
      </c>
      <c r="E19" t="s">
        <v>56</v>
      </c>
      <c r="F19" s="8" t="s">
        <v>158</v>
      </c>
      <c r="G19" s="9">
        <v>70500000</v>
      </c>
      <c r="H19" t="s">
        <v>131</v>
      </c>
      <c r="I19" s="10">
        <v>0</v>
      </c>
      <c r="J19" s="10">
        <v>300</v>
      </c>
    </row>
    <row r="20" spans="1:10" x14ac:dyDescent="0.3">
      <c r="A20">
        <v>22</v>
      </c>
      <c r="B20" s="7" t="s">
        <v>157</v>
      </c>
      <c r="C20">
        <v>38</v>
      </c>
      <c r="D20">
        <v>130</v>
      </c>
      <c r="E20" t="s">
        <v>126</v>
      </c>
      <c r="F20" s="8" t="s">
        <v>159</v>
      </c>
      <c r="G20" s="9">
        <v>43000011</v>
      </c>
      <c r="H20" t="s">
        <v>55</v>
      </c>
      <c r="I20" s="10">
        <v>2420</v>
      </c>
      <c r="J20" s="10">
        <v>0</v>
      </c>
    </row>
    <row r="21" spans="1:10" x14ac:dyDescent="0.3">
      <c r="B21" s="7"/>
      <c r="D21">
        <v>131</v>
      </c>
      <c r="E21" t="s">
        <v>160</v>
      </c>
      <c r="F21" s="8" t="s">
        <v>159</v>
      </c>
      <c r="G21" s="9">
        <v>47700000</v>
      </c>
      <c r="H21" t="s">
        <v>130</v>
      </c>
      <c r="I21" s="10">
        <v>0</v>
      </c>
      <c r="J21" s="10">
        <v>420</v>
      </c>
    </row>
    <row r="22" spans="1:10" x14ac:dyDescent="0.3">
      <c r="B22" s="7"/>
      <c r="D22">
        <v>132</v>
      </c>
      <c r="E22" t="s">
        <v>54</v>
      </c>
      <c r="F22" s="8" t="s">
        <v>159</v>
      </c>
      <c r="G22" s="9">
        <v>70500000</v>
      </c>
      <c r="H22" t="s">
        <v>131</v>
      </c>
      <c r="I22" s="10">
        <v>0</v>
      </c>
      <c r="J22" s="10">
        <v>2000</v>
      </c>
    </row>
    <row r="23" spans="1:10" x14ac:dyDescent="0.3">
      <c r="A23">
        <v>23</v>
      </c>
      <c r="B23" s="7" t="s">
        <v>161</v>
      </c>
      <c r="C23">
        <v>39</v>
      </c>
      <c r="D23">
        <v>133</v>
      </c>
      <c r="E23" t="s">
        <v>126</v>
      </c>
      <c r="F23" s="8" t="s">
        <v>162</v>
      </c>
      <c r="G23" s="9">
        <v>43000016</v>
      </c>
      <c r="H23" t="s">
        <v>163</v>
      </c>
      <c r="I23" s="10">
        <v>209.09</v>
      </c>
      <c r="J23" s="10">
        <v>0</v>
      </c>
    </row>
    <row r="24" spans="1:10" x14ac:dyDescent="0.3">
      <c r="B24" s="7"/>
      <c r="D24">
        <v>134</v>
      </c>
      <c r="E24" t="s">
        <v>163</v>
      </c>
      <c r="F24" s="8" t="s">
        <v>162</v>
      </c>
      <c r="G24" s="9">
        <v>70500000</v>
      </c>
      <c r="H24" t="s">
        <v>131</v>
      </c>
      <c r="I24" s="10">
        <v>0</v>
      </c>
      <c r="J24" s="10">
        <v>209.09</v>
      </c>
    </row>
    <row r="25" spans="1:10" x14ac:dyDescent="0.3">
      <c r="A25">
        <v>52</v>
      </c>
      <c r="B25" s="7" t="s">
        <v>164</v>
      </c>
      <c r="C25">
        <v>40</v>
      </c>
      <c r="D25">
        <v>135</v>
      </c>
      <c r="E25" t="s">
        <v>47</v>
      </c>
      <c r="F25" s="8" t="s">
        <v>165</v>
      </c>
      <c r="G25" s="9">
        <v>57200000</v>
      </c>
      <c r="H25" t="s">
        <v>67</v>
      </c>
      <c r="I25" s="10">
        <v>0</v>
      </c>
      <c r="J25" s="10">
        <v>219.22</v>
      </c>
    </row>
    <row r="26" spans="1:10" x14ac:dyDescent="0.3">
      <c r="B26" s="7"/>
      <c r="D26">
        <v>136</v>
      </c>
      <c r="E26" t="s">
        <v>47</v>
      </c>
      <c r="F26" s="8" t="s">
        <v>165</v>
      </c>
      <c r="G26" s="9">
        <v>41000019</v>
      </c>
      <c r="H26" t="s">
        <v>48</v>
      </c>
      <c r="I26" s="10">
        <v>219.22</v>
      </c>
      <c r="J26" s="10">
        <v>0</v>
      </c>
    </row>
    <row r="27" spans="1:10" x14ac:dyDescent="0.3">
      <c r="A27">
        <v>15</v>
      </c>
      <c r="B27" s="7" t="s">
        <v>166</v>
      </c>
      <c r="C27">
        <v>41</v>
      </c>
      <c r="D27">
        <v>137</v>
      </c>
      <c r="E27" t="s">
        <v>167</v>
      </c>
      <c r="F27" s="8" t="s">
        <v>168</v>
      </c>
      <c r="G27" s="9">
        <v>41000005</v>
      </c>
      <c r="H27" t="s">
        <v>34</v>
      </c>
      <c r="I27" s="10">
        <v>0</v>
      </c>
      <c r="J27" s="10">
        <v>157.30000000000001</v>
      </c>
    </row>
    <row r="28" spans="1:10" x14ac:dyDescent="0.3">
      <c r="B28" s="7"/>
      <c r="D28">
        <v>138</v>
      </c>
      <c r="E28" t="s">
        <v>82</v>
      </c>
      <c r="F28" s="8" t="s">
        <v>168</v>
      </c>
      <c r="G28" s="9">
        <v>47200000</v>
      </c>
      <c r="H28" t="s">
        <v>75</v>
      </c>
      <c r="I28" s="10">
        <v>27.3</v>
      </c>
      <c r="J28" s="10">
        <v>0</v>
      </c>
    </row>
    <row r="29" spans="1:10" x14ac:dyDescent="0.3">
      <c r="B29" s="7"/>
      <c r="D29">
        <v>139</v>
      </c>
      <c r="E29" t="s">
        <v>33</v>
      </c>
      <c r="F29" s="8" t="s">
        <v>168</v>
      </c>
      <c r="G29" s="9">
        <v>62900025</v>
      </c>
      <c r="H29" t="s">
        <v>144</v>
      </c>
      <c r="I29" s="10">
        <v>130</v>
      </c>
      <c r="J29" s="10">
        <v>0</v>
      </c>
    </row>
    <row r="30" spans="1:10" x14ac:dyDescent="0.3">
      <c r="A30">
        <v>53</v>
      </c>
      <c r="B30" s="7" t="s">
        <v>169</v>
      </c>
      <c r="C30">
        <v>42</v>
      </c>
      <c r="D30">
        <v>140</v>
      </c>
      <c r="E30" t="s">
        <v>33</v>
      </c>
      <c r="F30" s="8" t="s">
        <v>170</v>
      </c>
      <c r="G30" s="9">
        <v>57200000</v>
      </c>
      <c r="H30" t="s">
        <v>67</v>
      </c>
      <c r="I30" s="10">
        <v>0</v>
      </c>
      <c r="J30" s="10">
        <v>157.30000000000001</v>
      </c>
    </row>
    <row r="31" spans="1:10" x14ac:dyDescent="0.3">
      <c r="B31" s="7"/>
      <c r="D31">
        <v>141</v>
      </c>
      <c r="E31" t="s">
        <v>33</v>
      </c>
      <c r="F31" s="8" t="s">
        <v>170</v>
      </c>
      <c r="G31" s="9">
        <v>41000005</v>
      </c>
      <c r="H31" t="s">
        <v>34</v>
      </c>
      <c r="I31" s="10">
        <v>157.30000000000001</v>
      </c>
      <c r="J31" s="10">
        <v>0</v>
      </c>
    </row>
    <row r="32" spans="1:10" x14ac:dyDescent="0.3">
      <c r="A32">
        <v>24</v>
      </c>
      <c r="B32" s="7" t="s">
        <v>171</v>
      </c>
      <c r="C32">
        <v>43</v>
      </c>
      <c r="D32">
        <v>142</v>
      </c>
      <c r="E32" t="s">
        <v>126</v>
      </c>
      <c r="F32" s="8" t="s">
        <v>172</v>
      </c>
      <c r="G32" s="9">
        <v>43000017</v>
      </c>
      <c r="H32" t="s">
        <v>173</v>
      </c>
      <c r="I32" s="10">
        <v>150</v>
      </c>
      <c r="J32" s="10">
        <v>0</v>
      </c>
    </row>
    <row r="33" spans="2:10" x14ac:dyDescent="0.3">
      <c r="B33" s="7"/>
      <c r="D33">
        <v>143</v>
      </c>
      <c r="E33" t="s">
        <v>174</v>
      </c>
      <c r="F33" s="8" t="s">
        <v>172</v>
      </c>
      <c r="G33" s="9">
        <v>47700000</v>
      </c>
      <c r="H33" t="s">
        <v>130</v>
      </c>
      <c r="I33" s="10">
        <v>0</v>
      </c>
      <c r="J33" s="10">
        <v>26.03</v>
      </c>
    </row>
    <row r="34" spans="2:10" x14ac:dyDescent="0.3">
      <c r="B34" s="7"/>
      <c r="D34">
        <v>144</v>
      </c>
      <c r="E34" t="s">
        <v>175</v>
      </c>
      <c r="F34" s="8" t="s">
        <v>172</v>
      </c>
      <c r="G34" s="9">
        <v>70500000</v>
      </c>
      <c r="H34" t="s">
        <v>131</v>
      </c>
      <c r="I34" s="10">
        <v>0</v>
      </c>
      <c r="J34" s="10">
        <v>123.97</v>
      </c>
    </row>
    <row r="35" spans="2:10" x14ac:dyDescent="0.3">
      <c r="B35" s="7"/>
      <c r="F35" s="8" t="s">
        <v>85</v>
      </c>
      <c r="G35" s="9"/>
      <c r="H35" s="12" t="s">
        <v>176</v>
      </c>
      <c r="I35" s="13">
        <f>SUM(I8:I34)</f>
        <v>3974.2400000000002</v>
      </c>
      <c r="J35" s="13">
        <f>SUM(J8:J34)</f>
        <v>3974.2400000000002</v>
      </c>
    </row>
  </sheetData>
  <pageMargins left="0.75" right="0.75" top="1" bottom="1" header="0.5" footer="0.5"/>
  <pageSetup paperSize="9" fitToHeight="10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E60A-1519-4850-919F-9BB6804ECF3E}">
  <sheetPr>
    <pageSetUpPr fitToPage="1"/>
  </sheetPr>
  <dimension ref="A1:J30"/>
  <sheetViews>
    <sheetView workbookViewId="0"/>
  </sheetViews>
  <sheetFormatPr baseColWidth="10" defaultColWidth="8.88671875" defaultRowHeight="14.4" x14ac:dyDescent="0.3"/>
  <cols>
    <col min="1" max="1" width="8" customWidth="1"/>
    <col min="2" max="2" width="10.6640625" customWidth="1"/>
    <col min="3" max="3" width="7.5546875" customWidth="1"/>
    <col min="4" max="4" width="7.109375" customWidth="1"/>
    <col min="5" max="5" width="26.33203125" customWidth="1"/>
    <col min="6" max="6" width="10.6640625" customWidth="1"/>
    <col min="7" max="7" width="9.33203125" customWidth="1"/>
    <col min="8" max="8" width="29.8867187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34</v>
      </c>
      <c r="B8" s="3" t="s">
        <v>177</v>
      </c>
      <c r="C8">
        <v>44</v>
      </c>
      <c r="D8">
        <v>145</v>
      </c>
      <c r="E8" t="s">
        <v>71</v>
      </c>
      <c r="F8" s="4" t="s">
        <v>178</v>
      </c>
      <c r="G8" s="5">
        <v>41000019</v>
      </c>
      <c r="H8" t="s">
        <v>48</v>
      </c>
      <c r="I8" s="6">
        <v>0</v>
      </c>
      <c r="J8" s="6">
        <v>158.5</v>
      </c>
    </row>
    <row r="9" spans="1:10" x14ac:dyDescent="0.3">
      <c r="B9" s="7"/>
      <c r="D9">
        <v>146</v>
      </c>
      <c r="E9" t="s">
        <v>115</v>
      </c>
      <c r="F9" s="8" t="s">
        <v>178</v>
      </c>
      <c r="G9" s="9">
        <v>47200000</v>
      </c>
      <c r="H9" t="s">
        <v>75</v>
      </c>
      <c r="I9" s="10">
        <v>27.51</v>
      </c>
      <c r="J9" s="10">
        <v>0</v>
      </c>
    </row>
    <row r="10" spans="1:10" x14ac:dyDescent="0.3">
      <c r="B10" s="7"/>
      <c r="D10">
        <v>147</v>
      </c>
      <c r="E10" t="s">
        <v>47</v>
      </c>
      <c r="F10" s="8" t="s">
        <v>178</v>
      </c>
      <c r="G10" s="9">
        <v>62840000</v>
      </c>
      <c r="H10" t="s">
        <v>116</v>
      </c>
      <c r="I10" s="10">
        <v>130.99</v>
      </c>
      <c r="J10" s="10">
        <v>0</v>
      </c>
    </row>
    <row r="11" spans="1:10" x14ac:dyDescent="0.3">
      <c r="A11">
        <v>54</v>
      </c>
      <c r="B11" s="7" t="s">
        <v>177</v>
      </c>
      <c r="C11">
        <v>45</v>
      </c>
      <c r="D11">
        <v>148</v>
      </c>
      <c r="E11" t="s">
        <v>68</v>
      </c>
      <c r="F11" s="8" t="s">
        <v>179</v>
      </c>
      <c r="G11" s="9">
        <v>57200000</v>
      </c>
      <c r="H11" t="s">
        <v>67</v>
      </c>
      <c r="I11" s="10">
        <v>0</v>
      </c>
      <c r="J11" s="10">
        <v>25</v>
      </c>
    </row>
    <row r="12" spans="1:10" x14ac:dyDescent="0.3">
      <c r="B12" s="7"/>
      <c r="D12">
        <v>149</v>
      </c>
      <c r="E12" t="s">
        <v>68</v>
      </c>
      <c r="F12" s="8" t="s">
        <v>179</v>
      </c>
      <c r="G12" s="9">
        <v>62900000</v>
      </c>
      <c r="H12" t="s">
        <v>70</v>
      </c>
      <c r="I12" s="10">
        <v>25</v>
      </c>
      <c r="J12" s="10">
        <v>0</v>
      </c>
    </row>
    <row r="13" spans="1:10" x14ac:dyDescent="0.3">
      <c r="A13">
        <v>55</v>
      </c>
      <c r="B13" s="7" t="s">
        <v>180</v>
      </c>
      <c r="C13">
        <v>46</v>
      </c>
      <c r="D13">
        <v>150</v>
      </c>
      <c r="E13" t="s">
        <v>47</v>
      </c>
      <c r="F13" s="8" t="s">
        <v>181</v>
      </c>
      <c r="G13" s="9">
        <v>57200000</v>
      </c>
      <c r="H13" t="s">
        <v>67</v>
      </c>
      <c r="I13" s="10">
        <v>0</v>
      </c>
      <c r="J13" s="10">
        <v>161.08000000000001</v>
      </c>
    </row>
    <row r="14" spans="1:10" x14ac:dyDescent="0.3">
      <c r="B14" s="7"/>
      <c r="D14">
        <v>151</v>
      </c>
      <c r="E14" t="s">
        <v>47</v>
      </c>
      <c r="F14" s="8" t="s">
        <v>181</v>
      </c>
      <c r="G14" s="9">
        <v>41000019</v>
      </c>
      <c r="H14" t="s">
        <v>48</v>
      </c>
      <c r="I14" s="10">
        <v>161.08000000000001</v>
      </c>
      <c r="J14" s="10">
        <v>0</v>
      </c>
    </row>
    <row r="15" spans="1:10" x14ac:dyDescent="0.3">
      <c r="A15">
        <v>25</v>
      </c>
      <c r="B15" s="7" t="s">
        <v>182</v>
      </c>
      <c r="C15">
        <v>47</v>
      </c>
      <c r="D15">
        <v>152</v>
      </c>
      <c r="E15" t="s">
        <v>126</v>
      </c>
      <c r="F15" s="8" t="s">
        <v>183</v>
      </c>
      <c r="G15" s="9">
        <v>43000013</v>
      </c>
      <c r="H15" t="s">
        <v>57</v>
      </c>
      <c r="I15" s="10">
        <v>300</v>
      </c>
      <c r="J15" s="10">
        <v>0</v>
      </c>
    </row>
    <row r="16" spans="1:10" x14ac:dyDescent="0.3">
      <c r="B16" s="7"/>
      <c r="D16">
        <v>153</v>
      </c>
      <c r="E16" t="s">
        <v>56</v>
      </c>
      <c r="F16" s="8" t="s">
        <v>183</v>
      </c>
      <c r="G16" s="9">
        <v>70500000</v>
      </c>
      <c r="H16" t="s">
        <v>131</v>
      </c>
      <c r="I16" s="10">
        <v>0</v>
      </c>
      <c r="J16" s="10">
        <v>300</v>
      </c>
    </row>
    <row r="17" spans="1:10" x14ac:dyDescent="0.3">
      <c r="A17">
        <v>26</v>
      </c>
      <c r="B17" s="7" t="s">
        <v>182</v>
      </c>
      <c r="C17">
        <v>48</v>
      </c>
      <c r="D17">
        <v>154</v>
      </c>
      <c r="E17" t="s">
        <v>184</v>
      </c>
      <c r="F17" s="8" t="s">
        <v>185</v>
      </c>
      <c r="G17" s="9">
        <v>41000000</v>
      </c>
      <c r="H17" t="s">
        <v>154</v>
      </c>
      <c r="I17" s="10">
        <v>0</v>
      </c>
      <c r="J17" s="10">
        <v>34.200000000000003</v>
      </c>
    </row>
    <row r="18" spans="1:10" x14ac:dyDescent="0.3">
      <c r="B18" s="7"/>
      <c r="D18">
        <v>155</v>
      </c>
      <c r="E18" t="s">
        <v>155</v>
      </c>
      <c r="F18" s="8" t="s">
        <v>185</v>
      </c>
      <c r="G18" s="9">
        <v>47200000</v>
      </c>
      <c r="H18" t="s">
        <v>75</v>
      </c>
      <c r="I18" s="10">
        <v>1.32</v>
      </c>
      <c r="J18" s="10">
        <v>0</v>
      </c>
    </row>
    <row r="19" spans="1:10" x14ac:dyDescent="0.3">
      <c r="B19" s="7"/>
      <c r="D19">
        <v>156</v>
      </c>
      <c r="E19" t="s">
        <v>156</v>
      </c>
      <c r="F19" s="8" t="s">
        <v>185</v>
      </c>
      <c r="G19" s="9">
        <v>62900000</v>
      </c>
      <c r="H19" t="s">
        <v>70</v>
      </c>
      <c r="I19" s="10">
        <v>32.880000000000003</v>
      </c>
      <c r="J19" s="10">
        <v>0</v>
      </c>
    </row>
    <row r="20" spans="1:10" x14ac:dyDescent="0.3">
      <c r="A20">
        <v>56</v>
      </c>
      <c r="B20" s="7" t="s">
        <v>186</v>
      </c>
      <c r="C20">
        <v>49</v>
      </c>
      <c r="D20">
        <v>157</v>
      </c>
      <c r="E20" t="s">
        <v>187</v>
      </c>
      <c r="F20" s="8" t="s">
        <v>188</v>
      </c>
      <c r="G20" s="9">
        <v>57200000</v>
      </c>
      <c r="H20" t="s">
        <v>67</v>
      </c>
      <c r="I20" s="10">
        <v>0</v>
      </c>
      <c r="J20" s="10">
        <v>25</v>
      </c>
    </row>
    <row r="21" spans="1:10" x14ac:dyDescent="0.3">
      <c r="B21" s="7"/>
      <c r="D21">
        <v>158</v>
      </c>
      <c r="E21" t="s">
        <v>187</v>
      </c>
      <c r="F21" s="8" t="s">
        <v>188</v>
      </c>
      <c r="G21" s="9">
        <v>62600000</v>
      </c>
      <c r="H21" t="s">
        <v>189</v>
      </c>
      <c r="I21" s="10">
        <v>25</v>
      </c>
      <c r="J21" s="10">
        <v>0</v>
      </c>
    </row>
    <row r="22" spans="1:10" x14ac:dyDescent="0.3">
      <c r="A22">
        <v>16</v>
      </c>
      <c r="B22" s="7" t="s">
        <v>190</v>
      </c>
      <c r="C22">
        <v>50</v>
      </c>
      <c r="D22">
        <v>159</v>
      </c>
      <c r="E22" t="s">
        <v>191</v>
      </c>
      <c r="F22" s="8" t="s">
        <v>192</v>
      </c>
      <c r="G22" s="9">
        <v>41000005</v>
      </c>
      <c r="H22" t="s">
        <v>34</v>
      </c>
      <c r="I22" s="10">
        <v>0</v>
      </c>
      <c r="J22" s="10">
        <v>157.30000000000001</v>
      </c>
    </row>
    <row r="23" spans="1:10" x14ac:dyDescent="0.3">
      <c r="B23" s="7"/>
      <c r="D23">
        <v>160</v>
      </c>
      <c r="E23" t="s">
        <v>82</v>
      </c>
      <c r="F23" s="8" t="s">
        <v>192</v>
      </c>
      <c r="G23" s="9">
        <v>47200000</v>
      </c>
      <c r="H23" t="s">
        <v>75</v>
      </c>
      <c r="I23" s="10">
        <v>27.3</v>
      </c>
      <c r="J23" s="10">
        <v>0</v>
      </c>
    </row>
    <row r="24" spans="1:10" x14ac:dyDescent="0.3">
      <c r="B24" s="7"/>
      <c r="D24">
        <v>161</v>
      </c>
      <c r="E24" t="s">
        <v>33</v>
      </c>
      <c r="F24" s="8" t="s">
        <v>192</v>
      </c>
      <c r="G24" s="9">
        <v>62900025</v>
      </c>
      <c r="H24" t="s">
        <v>144</v>
      </c>
      <c r="I24" s="10">
        <v>130</v>
      </c>
      <c r="J24" s="10">
        <v>0</v>
      </c>
    </row>
    <row r="25" spans="1:10" x14ac:dyDescent="0.3">
      <c r="A25">
        <v>57</v>
      </c>
      <c r="B25" s="7" t="s">
        <v>193</v>
      </c>
      <c r="C25">
        <v>51</v>
      </c>
      <c r="D25">
        <v>162</v>
      </c>
      <c r="E25" t="s">
        <v>33</v>
      </c>
      <c r="F25" s="8" t="s">
        <v>194</v>
      </c>
      <c r="G25" s="9">
        <v>57200000</v>
      </c>
      <c r="H25" t="s">
        <v>67</v>
      </c>
      <c r="I25" s="10">
        <v>0</v>
      </c>
      <c r="J25" s="10">
        <v>157.30000000000001</v>
      </c>
    </row>
    <row r="26" spans="1:10" x14ac:dyDescent="0.3">
      <c r="B26" s="7"/>
      <c r="D26">
        <v>163</v>
      </c>
      <c r="E26" t="s">
        <v>33</v>
      </c>
      <c r="F26" s="8" t="s">
        <v>194</v>
      </c>
      <c r="G26" s="9">
        <v>41000005</v>
      </c>
      <c r="H26" t="s">
        <v>34</v>
      </c>
      <c r="I26" s="10">
        <v>157.30000000000001</v>
      </c>
      <c r="J26" s="10">
        <v>0</v>
      </c>
    </row>
    <row r="27" spans="1:10" x14ac:dyDescent="0.3">
      <c r="A27">
        <v>35</v>
      </c>
      <c r="B27" s="7" t="s">
        <v>195</v>
      </c>
      <c r="C27">
        <v>52</v>
      </c>
      <c r="D27">
        <v>164</v>
      </c>
      <c r="E27" t="s">
        <v>196</v>
      </c>
      <c r="F27" s="8" t="s">
        <v>13</v>
      </c>
      <c r="G27" s="9">
        <v>47700000</v>
      </c>
      <c r="H27" t="s">
        <v>130</v>
      </c>
      <c r="I27" s="10">
        <v>496.43</v>
      </c>
      <c r="J27" s="10">
        <v>0</v>
      </c>
    </row>
    <row r="28" spans="1:10" x14ac:dyDescent="0.3">
      <c r="B28" s="7"/>
      <c r="D28">
        <v>165</v>
      </c>
      <c r="E28" t="s">
        <v>196</v>
      </c>
      <c r="F28" s="8" t="s">
        <v>13</v>
      </c>
      <c r="G28" s="9">
        <v>47200000</v>
      </c>
      <c r="H28" t="s">
        <v>75</v>
      </c>
      <c r="I28" s="10">
        <v>0</v>
      </c>
      <c r="J28" s="10">
        <v>206.97</v>
      </c>
    </row>
    <row r="29" spans="1:10" x14ac:dyDescent="0.3">
      <c r="B29" s="7"/>
      <c r="D29">
        <v>166</v>
      </c>
      <c r="E29" t="s">
        <v>197</v>
      </c>
      <c r="F29" s="8" t="s">
        <v>13</v>
      </c>
      <c r="G29" s="9">
        <v>47000000</v>
      </c>
      <c r="H29" t="s">
        <v>59</v>
      </c>
      <c r="I29" s="10">
        <v>0</v>
      </c>
      <c r="J29" s="10">
        <v>289.45999999999998</v>
      </c>
    </row>
    <row r="30" spans="1:10" x14ac:dyDescent="0.3">
      <c r="B30" s="7"/>
      <c r="F30" s="8" t="s">
        <v>85</v>
      </c>
      <c r="G30" s="9"/>
      <c r="H30" s="12" t="s">
        <v>198</v>
      </c>
      <c r="I30" s="13">
        <f>SUM(I8:I29)</f>
        <v>1514.8100000000002</v>
      </c>
      <c r="J30" s="13">
        <f>SUM(J8:J29)</f>
        <v>1514.8100000000002</v>
      </c>
    </row>
  </sheetData>
  <pageMargins left="0.75" right="0.75" top="1" bottom="1" header="0.5" footer="0.5"/>
  <pageSetup paperSize="9" fitToHeight="10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BA36-C05A-4B68-A6DC-DB8A929F24C5}">
  <sheetPr>
    <pageSetUpPr fitToPage="1"/>
  </sheetPr>
  <dimension ref="A1:J19"/>
  <sheetViews>
    <sheetView workbookViewId="0"/>
  </sheetViews>
  <sheetFormatPr baseColWidth="10" defaultColWidth="8.88671875" defaultRowHeight="14.4" x14ac:dyDescent="0.3"/>
  <cols>
    <col min="1" max="1" width="8" customWidth="1"/>
    <col min="2" max="2" width="10.109375" customWidth="1"/>
    <col min="3" max="3" width="7.5546875" customWidth="1"/>
    <col min="4" max="4" width="7.109375" customWidth="1"/>
    <col min="5" max="5" width="26.33203125" customWidth="1"/>
    <col min="6" max="6" width="10.6640625" customWidth="1"/>
    <col min="7" max="7" width="9.33203125" customWidth="1"/>
    <col min="8" max="8" width="29.3320312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88</v>
      </c>
      <c r="B8" s="3" t="s">
        <v>199</v>
      </c>
      <c r="C8">
        <v>53</v>
      </c>
      <c r="D8">
        <v>167</v>
      </c>
      <c r="E8" t="s">
        <v>68</v>
      </c>
      <c r="F8" s="4" t="s">
        <v>200</v>
      </c>
      <c r="G8" s="5">
        <v>57200000</v>
      </c>
      <c r="H8" t="s">
        <v>67</v>
      </c>
      <c r="I8" s="6">
        <v>0</v>
      </c>
      <c r="J8" s="6">
        <v>25</v>
      </c>
    </row>
    <row r="9" spans="1:10" x14ac:dyDescent="0.3">
      <c r="B9" s="7"/>
      <c r="D9">
        <v>168</v>
      </c>
      <c r="E9" t="s">
        <v>68</v>
      </c>
      <c r="F9" s="8" t="s">
        <v>200</v>
      </c>
      <c r="G9" s="9">
        <v>62900000</v>
      </c>
      <c r="H9" t="s">
        <v>70</v>
      </c>
      <c r="I9" s="10">
        <v>25</v>
      </c>
      <c r="J9" s="10">
        <v>0</v>
      </c>
    </row>
    <row r="10" spans="1:10" x14ac:dyDescent="0.3">
      <c r="A10">
        <v>89</v>
      </c>
      <c r="B10" s="7" t="s">
        <v>201</v>
      </c>
      <c r="C10">
        <v>54</v>
      </c>
      <c r="D10">
        <v>169</v>
      </c>
      <c r="E10" t="s">
        <v>47</v>
      </c>
      <c r="F10" s="8" t="s">
        <v>202</v>
      </c>
      <c r="G10" s="9">
        <v>57200000</v>
      </c>
      <c r="H10" t="s">
        <v>67</v>
      </c>
      <c r="I10" s="10">
        <v>0</v>
      </c>
      <c r="J10" s="10">
        <v>158.5</v>
      </c>
    </row>
    <row r="11" spans="1:10" x14ac:dyDescent="0.3">
      <c r="B11" s="7"/>
      <c r="D11">
        <v>170</v>
      </c>
      <c r="E11" t="s">
        <v>47</v>
      </c>
      <c r="F11" s="8" t="s">
        <v>202</v>
      </c>
      <c r="G11" s="9">
        <v>41000019</v>
      </c>
      <c r="H11" t="s">
        <v>48</v>
      </c>
      <c r="I11" s="10">
        <v>158.5</v>
      </c>
      <c r="J11" s="10">
        <v>0</v>
      </c>
    </row>
    <row r="12" spans="1:10" x14ac:dyDescent="0.3">
      <c r="A12">
        <v>90</v>
      </c>
      <c r="B12" s="7" t="s">
        <v>203</v>
      </c>
      <c r="C12">
        <v>55</v>
      </c>
      <c r="D12">
        <v>171</v>
      </c>
      <c r="E12" t="s">
        <v>204</v>
      </c>
      <c r="F12" s="8" t="s">
        <v>205</v>
      </c>
      <c r="G12" s="9">
        <v>57200000</v>
      </c>
      <c r="H12" t="s">
        <v>67</v>
      </c>
      <c r="I12" s="10">
        <v>0</v>
      </c>
      <c r="J12" s="10">
        <v>432.6</v>
      </c>
    </row>
    <row r="13" spans="1:10" x14ac:dyDescent="0.3">
      <c r="B13" s="7"/>
      <c r="D13">
        <v>172</v>
      </c>
      <c r="E13" t="s">
        <v>204</v>
      </c>
      <c r="F13" s="8" t="s">
        <v>205</v>
      </c>
      <c r="G13" s="9">
        <v>55500000</v>
      </c>
      <c r="H13" t="s">
        <v>66</v>
      </c>
      <c r="I13" s="10">
        <v>432.6</v>
      </c>
      <c r="J13" s="10">
        <v>0</v>
      </c>
    </row>
    <row r="14" spans="1:10" x14ac:dyDescent="0.3">
      <c r="A14">
        <v>36</v>
      </c>
      <c r="B14" s="7" t="s">
        <v>206</v>
      </c>
      <c r="C14">
        <v>56</v>
      </c>
      <c r="D14">
        <v>173</v>
      </c>
      <c r="E14" t="s">
        <v>207</v>
      </c>
      <c r="F14" s="8" t="s">
        <v>208</v>
      </c>
      <c r="G14" s="9">
        <v>41000005</v>
      </c>
      <c r="H14" t="s">
        <v>34</v>
      </c>
      <c r="I14" s="10">
        <v>0</v>
      </c>
      <c r="J14" s="10">
        <v>157.30000000000001</v>
      </c>
    </row>
    <row r="15" spans="1:10" x14ac:dyDescent="0.3">
      <c r="B15" s="7"/>
      <c r="D15">
        <v>174</v>
      </c>
      <c r="E15" t="s">
        <v>82</v>
      </c>
      <c r="F15" s="8" t="s">
        <v>208</v>
      </c>
      <c r="G15" s="9">
        <v>47200000</v>
      </c>
      <c r="H15" t="s">
        <v>75</v>
      </c>
      <c r="I15" s="10">
        <v>27.3</v>
      </c>
      <c r="J15" s="10">
        <v>0</v>
      </c>
    </row>
    <row r="16" spans="1:10" x14ac:dyDescent="0.3">
      <c r="B16" s="7"/>
      <c r="D16">
        <v>175</v>
      </c>
      <c r="E16" t="s">
        <v>33</v>
      </c>
      <c r="F16" s="8" t="s">
        <v>208</v>
      </c>
      <c r="G16" s="9">
        <v>62900025</v>
      </c>
      <c r="H16" t="s">
        <v>144</v>
      </c>
      <c r="I16" s="10">
        <v>130</v>
      </c>
      <c r="J16" s="10">
        <v>0</v>
      </c>
    </row>
    <row r="17" spans="1:10" x14ac:dyDescent="0.3">
      <c r="A17">
        <v>91</v>
      </c>
      <c r="B17" s="7" t="s">
        <v>209</v>
      </c>
      <c r="C17">
        <v>57</v>
      </c>
      <c r="D17">
        <v>176</v>
      </c>
      <c r="E17" t="s">
        <v>33</v>
      </c>
      <c r="F17" s="8" t="s">
        <v>210</v>
      </c>
      <c r="G17" s="9">
        <v>57200000</v>
      </c>
      <c r="H17" t="s">
        <v>67</v>
      </c>
      <c r="I17" s="10">
        <v>0</v>
      </c>
      <c r="J17" s="10">
        <v>157.30000000000001</v>
      </c>
    </row>
    <row r="18" spans="1:10" x14ac:dyDescent="0.3">
      <c r="B18" s="7"/>
      <c r="D18">
        <v>177</v>
      </c>
      <c r="E18" t="s">
        <v>33</v>
      </c>
      <c r="F18" s="8" t="s">
        <v>210</v>
      </c>
      <c r="G18" s="9">
        <v>41000005</v>
      </c>
      <c r="H18" t="s">
        <v>34</v>
      </c>
      <c r="I18" s="10">
        <v>157.30000000000001</v>
      </c>
      <c r="J18" s="10">
        <v>0</v>
      </c>
    </row>
    <row r="19" spans="1:10" x14ac:dyDescent="0.3">
      <c r="B19" s="7"/>
      <c r="F19" s="8" t="s">
        <v>85</v>
      </c>
      <c r="G19" s="9"/>
      <c r="H19" s="12" t="s">
        <v>211</v>
      </c>
      <c r="I19" s="13">
        <f>SUM(I8:I18)</f>
        <v>930.7</v>
      </c>
      <c r="J19" s="13">
        <f>SUM(J8:J18)</f>
        <v>930.7</v>
      </c>
    </row>
  </sheetData>
  <pageMargins left="0.75" right="0.75" top="1" bottom="1" header="0.5" footer="0.5"/>
  <pageSetup paperSize="9" fitToHeight="10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DDFD-1C33-4A9B-9A85-274E277AD763}">
  <sheetPr>
    <pageSetUpPr fitToPage="1"/>
  </sheetPr>
  <dimension ref="A1:J28"/>
  <sheetViews>
    <sheetView workbookViewId="0"/>
  </sheetViews>
  <sheetFormatPr baseColWidth="10" defaultColWidth="8.88671875" defaultRowHeight="14.4" x14ac:dyDescent="0.3"/>
  <cols>
    <col min="1" max="1" width="8" customWidth="1"/>
    <col min="2" max="2" width="10.44140625" customWidth="1"/>
    <col min="3" max="3" width="7.5546875" customWidth="1"/>
    <col min="4" max="4" width="7.109375" customWidth="1"/>
    <col min="5" max="5" width="26.33203125" customWidth="1"/>
    <col min="6" max="6" width="10.6640625" customWidth="1"/>
    <col min="7" max="7" width="9.33203125" customWidth="1"/>
    <col min="8" max="8" width="29.3320312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92</v>
      </c>
      <c r="B8" s="3">
        <v>45139</v>
      </c>
      <c r="C8">
        <v>58</v>
      </c>
      <c r="D8">
        <v>178</v>
      </c>
      <c r="E8" t="s">
        <v>68</v>
      </c>
      <c r="F8" s="4" t="s">
        <v>212</v>
      </c>
      <c r="G8" s="5">
        <v>57200000</v>
      </c>
      <c r="H8" t="s">
        <v>67</v>
      </c>
      <c r="I8" s="6">
        <v>0</v>
      </c>
      <c r="J8" s="6">
        <v>25</v>
      </c>
    </row>
    <row r="9" spans="1:10" x14ac:dyDescent="0.3">
      <c r="B9" s="7"/>
      <c r="D9">
        <v>179</v>
      </c>
      <c r="E9" t="s">
        <v>68</v>
      </c>
      <c r="F9" s="8" t="s">
        <v>212</v>
      </c>
      <c r="G9" s="9">
        <v>62900000</v>
      </c>
      <c r="H9" t="s">
        <v>70</v>
      </c>
      <c r="I9" s="10">
        <v>25</v>
      </c>
      <c r="J9" s="10">
        <v>0</v>
      </c>
    </row>
    <row r="10" spans="1:10" x14ac:dyDescent="0.3">
      <c r="A10">
        <v>61</v>
      </c>
      <c r="B10" s="7">
        <v>45152</v>
      </c>
      <c r="C10">
        <v>59</v>
      </c>
      <c r="D10">
        <v>180</v>
      </c>
      <c r="E10" t="s">
        <v>71</v>
      </c>
      <c r="F10" s="8" t="s">
        <v>213</v>
      </c>
      <c r="G10" s="9">
        <v>41000025</v>
      </c>
      <c r="H10" t="s">
        <v>214</v>
      </c>
      <c r="I10" s="10">
        <v>0</v>
      </c>
      <c r="J10" s="10">
        <v>1002</v>
      </c>
    </row>
    <row r="11" spans="1:10" x14ac:dyDescent="0.3">
      <c r="B11" s="7"/>
      <c r="D11">
        <v>181</v>
      </c>
      <c r="E11" t="s">
        <v>215</v>
      </c>
      <c r="F11" s="8" t="s">
        <v>213</v>
      </c>
      <c r="G11" s="9">
        <v>47200000</v>
      </c>
      <c r="H11" t="s">
        <v>75</v>
      </c>
      <c r="I11" s="10">
        <v>173.9</v>
      </c>
      <c r="J11" s="10">
        <v>0</v>
      </c>
    </row>
    <row r="12" spans="1:10" x14ac:dyDescent="0.3">
      <c r="B12" s="7"/>
      <c r="D12">
        <v>182</v>
      </c>
      <c r="E12" t="s">
        <v>214</v>
      </c>
      <c r="F12" s="8" t="s">
        <v>213</v>
      </c>
      <c r="G12" s="9">
        <v>60000000</v>
      </c>
      <c r="H12" t="s">
        <v>136</v>
      </c>
      <c r="I12" s="10">
        <v>828.1</v>
      </c>
      <c r="J12" s="10">
        <v>0</v>
      </c>
    </row>
    <row r="13" spans="1:10" x14ac:dyDescent="0.3">
      <c r="A13">
        <v>93</v>
      </c>
      <c r="B13" s="7">
        <v>45152</v>
      </c>
      <c r="C13">
        <v>60</v>
      </c>
      <c r="D13">
        <v>183</v>
      </c>
      <c r="E13" t="s">
        <v>47</v>
      </c>
      <c r="F13" s="8" t="s">
        <v>216</v>
      </c>
      <c r="G13" s="9">
        <v>57200000</v>
      </c>
      <c r="H13" t="s">
        <v>67</v>
      </c>
      <c r="I13" s="10">
        <v>0</v>
      </c>
      <c r="J13" s="10">
        <v>164.63</v>
      </c>
    </row>
    <row r="14" spans="1:10" x14ac:dyDescent="0.3">
      <c r="B14" s="7"/>
      <c r="D14">
        <v>184</v>
      </c>
      <c r="E14" t="s">
        <v>47</v>
      </c>
      <c r="F14" s="8" t="s">
        <v>216</v>
      </c>
      <c r="G14" s="9">
        <v>41000019</v>
      </c>
      <c r="H14" t="s">
        <v>48</v>
      </c>
      <c r="I14" s="10">
        <v>164.63</v>
      </c>
      <c r="J14" s="10">
        <v>0</v>
      </c>
    </row>
    <row r="15" spans="1:10" x14ac:dyDescent="0.3">
      <c r="A15">
        <v>37</v>
      </c>
      <c r="B15" s="7">
        <v>45159</v>
      </c>
      <c r="C15">
        <v>61</v>
      </c>
      <c r="D15">
        <v>185</v>
      </c>
      <c r="E15" t="s">
        <v>217</v>
      </c>
      <c r="F15" s="8" t="s">
        <v>218</v>
      </c>
      <c r="G15" s="9">
        <v>41000005</v>
      </c>
      <c r="H15" t="s">
        <v>34</v>
      </c>
      <c r="I15" s="10">
        <v>0</v>
      </c>
      <c r="J15" s="10">
        <v>157.30000000000001</v>
      </c>
    </row>
    <row r="16" spans="1:10" x14ac:dyDescent="0.3">
      <c r="B16" s="7"/>
      <c r="D16">
        <v>186</v>
      </c>
      <c r="E16" t="s">
        <v>82</v>
      </c>
      <c r="F16" s="8" t="s">
        <v>218</v>
      </c>
      <c r="G16" s="9">
        <v>47200000</v>
      </c>
      <c r="H16" t="s">
        <v>75</v>
      </c>
      <c r="I16" s="10">
        <v>27.3</v>
      </c>
      <c r="J16" s="10">
        <v>0</v>
      </c>
    </row>
    <row r="17" spans="1:10" x14ac:dyDescent="0.3">
      <c r="B17" s="7"/>
      <c r="D17">
        <v>187</v>
      </c>
      <c r="E17" t="s">
        <v>33</v>
      </c>
      <c r="F17" s="8" t="s">
        <v>218</v>
      </c>
      <c r="G17" s="9">
        <v>62900025</v>
      </c>
      <c r="H17" t="s">
        <v>144</v>
      </c>
      <c r="I17" s="10">
        <v>130</v>
      </c>
      <c r="J17" s="10">
        <v>0</v>
      </c>
    </row>
    <row r="18" spans="1:10" x14ac:dyDescent="0.3">
      <c r="A18">
        <v>64</v>
      </c>
      <c r="B18" s="7">
        <v>45159</v>
      </c>
      <c r="C18">
        <v>62</v>
      </c>
      <c r="D18">
        <v>188</v>
      </c>
      <c r="E18" t="s">
        <v>126</v>
      </c>
      <c r="F18" s="8" t="s">
        <v>219</v>
      </c>
      <c r="G18" s="9">
        <v>43000018</v>
      </c>
      <c r="H18" t="s">
        <v>220</v>
      </c>
      <c r="I18" s="10">
        <v>9075</v>
      </c>
      <c r="J18" s="10">
        <v>0</v>
      </c>
    </row>
    <row r="19" spans="1:10" x14ac:dyDescent="0.3">
      <c r="B19" s="7"/>
      <c r="D19">
        <v>189</v>
      </c>
      <c r="E19" t="s">
        <v>221</v>
      </c>
      <c r="F19" s="8" t="s">
        <v>219</v>
      </c>
      <c r="G19" s="9">
        <v>47700000</v>
      </c>
      <c r="H19" t="s">
        <v>130</v>
      </c>
      <c r="I19" s="10">
        <v>0</v>
      </c>
      <c r="J19" s="10">
        <v>1575</v>
      </c>
    </row>
    <row r="20" spans="1:10" x14ac:dyDescent="0.3">
      <c r="B20" s="7"/>
      <c r="D20">
        <v>190</v>
      </c>
      <c r="E20" t="s">
        <v>220</v>
      </c>
      <c r="F20" s="8" t="s">
        <v>219</v>
      </c>
      <c r="G20" s="9">
        <v>70500000</v>
      </c>
      <c r="H20" t="s">
        <v>131</v>
      </c>
      <c r="I20" s="10">
        <v>0</v>
      </c>
      <c r="J20" s="10">
        <v>7500</v>
      </c>
    </row>
    <row r="21" spans="1:10" x14ac:dyDescent="0.3">
      <c r="A21">
        <v>94</v>
      </c>
      <c r="B21" s="7">
        <v>45163</v>
      </c>
      <c r="C21">
        <v>63</v>
      </c>
      <c r="D21">
        <v>191</v>
      </c>
      <c r="E21" t="s">
        <v>47</v>
      </c>
      <c r="F21" s="8" t="s">
        <v>222</v>
      </c>
      <c r="G21" s="9">
        <v>57200000</v>
      </c>
      <c r="H21" t="s">
        <v>67</v>
      </c>
      <c r="I21" s="10">
        <v>60.5</v>
      </c>
      <c r="J21" s="10">
        <v>0</v>
      </c>
    </row>
    <row r="22" spans="1:10" x14ac:dyDescent="0.3">
      <c r="B22" s="7"/>
      <c r="D22">
        <v>192</v>
      </c>
      <c r="E22" t="s">
        <v>47</v>
      </c>
      <c r="F22" s="8" t="s">
        <v>222</v>
      </c>
      <c r="G22" s="9">
        <v>41000019</v>
      </c>
      <c r="H22" t="s">
        <v>48</v>
      </c>
      <c r="I22" s="10">
        <v>0</v>
      </c>
      <c r="J22" s="10">
        <v>60.5</v>
      </c>
    </row>
    <row r="23" spans="1:10" x14ac:dyDescent="0.3">
      <c r="A23">
        <v>62</v>
      </c>
      <c r="B23" s="7">
        <v>45167</v>
      </c>
      <c r="C23">
        <v>64</v>
      </c>
      <c r="D23">
        <v>193</v>
      </c>
      <c r="E23" t="s">
        <v>71</v>
      </c>
      <c r="F23" s="8" t="s">
        <v>223</v>
      </c>
      <c r="G23" s="9">
        <v>41000025</v>
      </c>
      <c r="H23" t="s">
        <v>214</v>
      </c>
      <c r="I23" s="10">
        <v>0</v>
      </c>
      <c r="J23" s="10">
        <v>662</v>
      </c>
    </row>
    <row r="24" spans="1:10" x14ac:dyDescent="0.3">
      <c r="B24" s="7"/>
      <c r="D24">
        <v>194</v>
      </c>
      <c r="E24" t="s">
        <v>215</v>
      </c>
      <c r="F24" s="8" t="s">
        <v>223</v>
      </c>
      <c r="G24" s="9">
        <v>47200000</v>
      </c>
      <c r="H24" t="s">
        <v>75</v>
      </c>
      <c r="I24" s="10">
        <v>114.89</v>
      </c>
      <c r="J24" s="10">
        <v>0</v>
      </c>
    </row>
    <row r="25" spans="1:10" x14ac:dyDescent="0.3">
      <c r="B25" s="7"/>
      <c r="D25">
        <v>195</v>
      </c>
      <c r="E25" t="s">
        <v>214</v>
      </c>
      <c r="F25" s="8" t="s">
        <v>223</v>
      </c>
      <c r="G25" s="9">
        <v>60000000</v>
      </c>
      <c r="H25" t="s">
        <v>136</v>
      </c>
      <c r="I25" s="10">
        <v>547.11</v>
      </c>
      <c r="J25" s="10">
        <v>0</v>
      </c>
    </row>
    <row r="26" spans="1:10" x14ac:dyDescent="0.3">
      <c r="A26">
        <v>95</v>
      </c>
      <c r="B26" s="7">
        <v>45168</v>
      </c>
      <c r="C26">
        <v>65</v>
      </c>
      <c r="D26">
        <v>196</v>
      </c>
      <c r="E26" t="s">
        <v>33</v>
      </c>
      <c r="F26" s="8" t="s">
        <v>224</v>
      </c>
      <c r="G26" s="9">
        <v>57200000</v>
      </c>
      <c r="H26" t="s">
        <v>67</v>
      </c>
      <c r="I26" s="10">
        <v>0</v>
      </c>
      <c r="J26" s="10">
        <v>157.30000000000001</v>
      </c>
    </row>
    <row r="27" spans="1:10" x14ac:dyDescent="0.3">
      <c r="B27" s="7"/>
      <c r="D27">
        <v>197</v>
      </c>
      <c r="E27" t="s">
        <v>33</v>
      </c>
      <c r="F27" s="8" t="s">
        <v>224</v>
      </c>
      <c r="G27" s="9">
        <v>41000005</v>
      </c>
      <c r="H27" t="s">
        <v>34</v>
      </c>
      <c r="I27" s="10">
        <v>157.30000000000001</v>
      </c>
      <c r="J27" s="10">
        <v>0</v>
      </c>
    </row>
    <row r="28" spans="1:10" x14ac:dyDescent="0.3">
      <c r="B28" s="7"/>
      <c r="F28" s="8" t="s">
        <v>85</v>
      </c>
      <c r="G28" s="9"/>
      <c r="H28" s="12" t="s">
        <v>225</v>
      </c>
      <c r="I28" s="13">
        <f>SUM(I8:I27)</f>
        <v>11303.73</v>
      </c>
      <c r="J28" s="13">
        <f>SUM(J8:J27)</f>
        <v>11303.73</v>
      </c>
    </row>
  </sheetData>
  <pageMargins left="0.75" right="0.75" top="1" bottom="1" header="0.5" footer="0.5"/>
  <pageSetup paperSize="9" fitToHeight="10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A897-12F7-4FBC-AED7-3E800A3F4029}">
  <sheetPr>
    <pageSetUpPr fitToPage="1"/>
  </sheetPr>
  <dimension ref="A1:J25"/>
  <sheetViews>
    <sheetView workbookViewId="0"/>
  </sheetViews>
  <sheetFormatPr baseColWidth="10" defaultColWidth="8.88671875" defaultRowHeight="14.4" x14ac:dyDescent="0.3"/>
  <cols>
    <col min="1" max="1" width="8" customWidth="1"/>
    <col min="2" max="2" width="10.44140625" customWidth="1"/>
    <col min="3" max="3" width="7.5546875" customWidth="1"/>
    <col min="4" max="4" width="7.109375" customWidth="1"/>
    <col min="5" max="5" width="27.33203125" customWidth="1"/>
    <col min="6" max="6" width="10.6640625" customWidth="1"/>
    <col min="7" max="7" width="9.33203125" customWidth="1"/>
    <col min="8" max="8" width="30.10937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65</v>
      </c>
      <c r="B8" s="3" t="s">
        <v>226</v>
      </c>
      <c r="C8">
        <v>66</v>
      </c>
      <c r="D8">
        <v>198</v>
      </c>
      <c r="E8" t="s">
        <v>126</v>
      </c>
      <c r="F8" s="4" t="s">
        <v>227</v>
      </c>
      <c r="G8" s="5">
        <v>43000019</v>
      </c>
      <c r="H8" t="s">
        <v>228</v>
      </c>
      <c r="I8" s="6">
        <v>2420</v>
      </c>
      <c r="J8" s="6">
        <v>0</v>
      </c>
    </row>
    <row r="9" spans="1:10" x14ac:dyDescent="0.3">
      <c r="B9" s="7"/>
      <c r="D9">
        <v>199</v>
      </c>
      <c r="E9" t="s">
        <v>229</v>
      </c>
      <c r="F9" s="8" t="s">
        <v>227</v>
      </c>
      <c r="G9" s="9">
        <v>47700000</v>
      </c>
      <c r="H9" t="s">
        <v>130</v>
      </c>
      <c r="I9" s="10">
        <v>0</v>
      </c>
      <c r="J9" s="10">
        <v>420</v>
      </c>
    </row>
    <row r="10" spans="1:10" x14ac:dyDescent="0.3">
      <c r="B10" s="7"/>
      <c r="D10">
        <v>200</v>
      </c>
      <c r="E10" t="s">
        <v>230</v>
      </c>
      <c r="F10" s="8" t="s">
        <v>227</v>
      </c>
      <c r="G10" s="9">
        <v>70500000</v>
      </c>
      <c r="H10" t="s">
        <v>131</v>
      </c>
      <c r="I10" s="10">
        <v>0</v>
      </c>
      <c r="J10" s="10">
        <v>2000</v>
      </c>
    </row>
    <row r="11" spans="1:10" x14ac:dyDescent="0.3">
      <c r="A11">
        <v>96</v>
      </c>
      <c r="B11" s="7" t="s">
        <v>226</v>
      </c>
      <c r="C11">
        <v>67</v>
      </c>
      <c r="D11">
        <v>201</v>
      </c>
      <c r="E11" t="s">
        <v>68</v>
      </c>
      <c r="F11" s="8" t="s">
        <v>231</v>
      </c>
      <c r="G11" s="9">
        <v>57200000</v>
      </c>
      <c r="H11" t="s">
        <v>67</v>
      </c>
      <c r="I11" s="10">
        <v>0</v>
      </c>
      <c r="J11" s="10">
        <v>25</v>
      </c>
    </row>
    <row r="12" spans="1:10" x14ac:dyDescent="0.3">
      <c r="B12" s="7"/>
      <c r="D12">
        <v>202</v>
      </c>
      <c r="E12" t="s">
        <v>68</v>
      </c>
      <c r="F12" s="8" t="s">
        <v>231</v>
      </c>
      <c r="G12" s="9">
        <v>62900000</v>
      </c>
      <c r="H12" t="s">
        <v>70</v>
      </c>
      <c r="I12" s="10">
        <v>25</v>
      </c>
      <c r="J12" s="10">
        <v>0</v>
      </c>
    </row>
    <row r="13" spans="1:10" x14ac:dyDescent="0.3">
      <c r="A13">
        <v>97</v>
      </c>
      <c r="B13" s="7" t="s">
        <v>232</v>
      </c>
      <c r="C13">
        <v>68</v>
      </c>
      <c r="D13">
        <v>203</v>
      </c>
      <c r="E13" t="s">
        <v>233</v>
      </c>
      <c r="F13" s="8" t="s">
        <v>234</v>
      </c>
      <c r="G13" s="9">
        <v>57200000</v>
      </c>
      <c r="H13" t="s">
        <v>67</v>
      </c>
      <c r="I13" s="10">
        <v>0</v>
      </c>
      <c r="J13" s="10">
        <v>120</v>
      </c>
    </row>
    <row r="14" spans="1:10" x14ac:dyDescent="0.3">
      <c r="B14" s="7"/>
      <c r="D14">
        <v>204</v>
      </c>
      <c r="E14" t="s">
        <v>233</v>
      </c>
      <c r="F14" s="8" t="s">
        <v>234</v>
      </c>
      <c r="G14" s="9">
        <v>41000018</v>
      </c>
      <c r="H14" t="s">
        <v>235</v>
      </c>
      <c r="I14" s="10">
        <v>120</v>
      </c>
      <c r="J14" s="10">
        <v>0</v>
      </c>
    </row>
    <row r="15" spans="1:10" x14ac:dyDescent="0.3">
      <c r="A15">
        <v>98</v>
      </c>
      <c r="B15" s="7" t="s">
        <v>236</v>
      </c>
      <c r="C15">
        <v>69</v>
      </c>
      <c r="D15">
        <v>205</v>
      </c>
      <c r="E15" t="s">
        <v>47</v>
      </c>
      <c r="F15" s="8" t="s">
        <v>237</v>
      </c>
      <c r="G15" s="9">
        <v>57200000</v>
      </c>
      <c r="H15" t="s">
        <v>67</v>
      </c>
      <c r="I15" s="10">
        <v>0</v>
      </c>
      <c r="J15" s="10">
        <v>158.5</v>
      </c>
    </row>
    <row r="16" spans="1:10" x14ac:dyDescent="0.3">
      <c r="B16" s="7"/>
      <c r="D16">
        <v>206</v>
      </c>
      <c r="E16" t="s">
        <v>47</v>
      </c>
      <c r="F16" s="8" t="s">
        <v>237</v>
      </c>
      <c r="G16" s="9">
        <v>41000019</v>
      </c>
      <c r="H16" t="s">
        <v>48</v>
      </c>
      <c r="I16" s="10">
        <v>158.5</v>
      </c>
      <c r="J16" s="10">
        <v>0</v>
      </c>
    </row>
    <row r="17" spans="1:10" x14ac:dyDescent="0.3">
      <c r="A17">
        <v>63</v>
      </c>
      <c r="B17" s="7" t="s">
        <v>238</v>
      </c>
      <c r="C17">
        <v>70</v>
      </c>
      <c r="D17">
        <v>207</v>
      </c>
      <c r="E17" t="s">
        <v>71</v>
      </c>
      <c r="F17" s="8" t="s">
        <v>239</v>
      </c>
      <c r="G17" s="9">
        <v>41000026</v>
      </c>
      <c r="H17" t="s">
        <v>240</v>
      </c>
      <c r="I17" s="10">
        <v>0</v>
      </c>
      <c r="J17" s="10">
        <v>1851.3</v>
      </c>
    </row>
    <row r="18" spans="1:10" x14ac:dyDescent="0.3">
      <c r="B18" s="7"/>
      <c r="D18">
        <v>208</v>
      </c>
      <c r="E18" t="s">
        <v>241</v>
      </c>
      <c r="F18" s="8" t="s">
        <v>239</v>
      </c>
      <c r="G18" s="9">
        <v>47200000</v>
      </c>
      <c r="H18" t="s">
        <v>75</v>
      </c>
      <c r="I18" s="10">
        <v>321.3</v>
      </c>
      <c r="J18" s="10">
        <v>0</v>
      </c>
    </row>
    <row r="19" spans="1:10" x14ac:dyDescent="0.3">
      <c r="B19" s="7"/>
      <c r="D19">
        <v>209</v>
      </c>
      <c r="E19" t="s">
        <v>242</v>
      </c>
      <c r="F19" s="8" t="s">
        <v>239</v>
      </c>
      <c r="G19" s="9">
        <v>60000000</v>
      </c>
      <c r="H19" t="s">
        <v>136</v>
      </c>
      <c r="I19" s="10">
        <v>1530</v>
      </c>
      <c r="J19" s="10">
        <v>0</v>
      </c>
    </row>
    <row r="20" spans="1:10" x14ac:dyDescent="0.3">
      <c r="A20">
        <v>60</v>
      </c>
      <c r="B20" s="7" t="s">
        <v>243</v>
      </c>
      <c r="C20">
        <v>71</v>
      </c>
      <c r="D20">
        <v>210</v>
      </c>
      <c r="E20" t="s">
        <v>244</v>
      </c>
      <c r="F20" s="8" t="s">
        <v>245</v>
      </c>
      <c r="G20" s="9">
        <v>41000005</v>
      </c>
      <c r="H20" t="s">
        <v>34</v>
      </c>
      <c r="I20" s="10">
        <v>0</v>
      </c>
      <c r="J20" s="10">
        <v>157.30000000000001</v>
      </c>
    </row>
    <row r="21" spans="1:10" x14ac:dyDescent="0.3">
      <c r="B21" s="7"/>
      <c r="D21">
        <v>211</v>
      </c>
      <c r="E21" t="s">
        <v>82</v>
      </c>
      <c r="F21" s="8" t="s">
        <v>245</v>
      </c>
      <c r="G21" s="9">
        <v>47200000</v>
      </c>
      <c r="H21" t="s">
        <v>75</v>
      </c>
      <c r="I21" s="10">
        <v>27.3</v>
      </c>
      <c r="J21" s="10">
        <v>0</v>
      </c>
    </row>
    <row r="22" spans="1:10" x14ac:dyDescent="0.3">
      <c r="B22" s="7"/>
      <c r="D22">
        <v>212</v>
      </c>
      <c r="E22" t="s">
        <v>33</v>
      </c>
      <c r="F22" s="8" t="s">
        <v>245</v>
      </c>
      <c r="G22" s="9">
        <v>62900025</v>
      </c>
      <c r="H22" t="s">
        <v>144</v>
      </c>
      <c r="I22" s="10">
        <v>130</v>
      </c>
      <c r="J22" s="10">
        <v>0</v>
      </c>
    </row>
    <row r="23" spans="1:10" x14ac:dyDescent="0.3">
      <c r="A23">
        <v>99</v>
      </c>
      <c r="B23" s="7" t="s">
        <v>246</v>
      </c>
      <c r="C23">
        <v>72</v>
      </c>
      <c r="D23">
        <v>213</v>
      </c>
      <c r="E23" t="s">
        <v>33</v>
      </c>
      <c r="F23" s="8" t="s">
        <v>247</v>
      </c>
      <c r="G23" s="9">
        <v>57200000</v>
      </c>
      <c r="H23" t="s">
        <v>67</v>
      </c>
      <c r="I23" s="10">
        <v>0</v>
      </c>
      <c r="J23" s="10">
        <v>157.30000000000001</v>
      </c>
    </row>
    <row r="24" spans="1:10" x14ac:dyDescent="0.3">
      <c r="B24" s="7"/>
      <c r="D24">
        <v>214</v>
      </c>
      <c r="E24" t="s">
        <v>33</v>
      </c>
      <c r="F24" s="8" t="s">
        <v>247</v>
      </c>
      <c r="G24" s="9">
        <v>41000005</v>
      </c>
      <c r="H24" t="s">
        <v>34</v>
      </c>
      <c r="I24" s="10">
        <v>157.30000000000001</v>
      </c>
      <c r="J24" s="10">
        <v>0</v>
      </c>
    </row>
    <row r="25" spans="1:10" x14ac:dyDescent="0.3">
      <c r="B25" s="7"/>
      <c r="F25" s="8" t="s">
        <v>85</v>
      </c>
      <c r="G25" s="9"/>
      <c r="H25" s="12" t="s">
        <v>248</v>
      </c>
      <c r="I25" s="13">
        <f>SUM(I8:I24)</f>
        <v>4889.4000000000005</v>
      </c>
      <c r="J25" s="13">
        <f>SUM(J8:J24)</f>
        <v>4889.4000000000005</v>
      </c>
    </row>
  </sheetData>
  <pageMargins left="0.75" right="0.75" top="1" bottom="1" header="0.5" footer="0.5"/>
  <pageSetup paperSize="9" fitToHeight="10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0BCF-D87A-42D8-9469-B392F49A4FFC}">
  <sheetPr>
    <pageSetUpPr fitToPage="1"/>
  </sheetPr>
  <dimension ref="A1:J37"/>
  <sheetViews>
    <sheetView workbookViewId="0"/>
  </sheetViews>
  <sheetFormatPr baseColWidth="10" defaultColWidth="8.88671875" defaultRowHeight="14.4" x14ac:dyDescent="0.3"/>
  <cols>
    <col min="1" max="1" width="8" customWidth="1"/>
    <col min="2" max="2" width="10.88671875" customWidth="1"/>
    <col min="3" max="3" width="7.5546875" customWidth="1"/>
    <col min="4" max="4" width="7.109375" customWidth="1"/>
    <col min="5" max="5" width="26.5546875" customWidth="1"/>
    <col min="6" max="6" width="10.6640625" customWidth="1"/>
    <col min="7" max="7" width="9.33203125" customWidth="1"/>
    <col min="8" max="8" width="30.109375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100</v>
      </c>
      <c r="B8" s="3" t="s">
        <v>249</v>
      </c>
      <c r="C8">
        <v>73</v>
      </c>
      <c r="D8">
        <v>215</v>
      </c>
      <c r="E8" t="s">
        <v>68</v>
      </c>
      <c r="F8" s="4" t="s">
        <v>250</v>
      </c>
      <c r="G8" s="5">
        <v>57200000</v>
      </c>
      <c r="H8" t="s">
        <v>67</v>
      </c>
      <c r="I8" s="6">
        <v>0</v>
      </c>
      <c r="J8" s="6">
        <v>25</v>
      </c>
    </row>
    <row r="9" spans="1:10" x14ac:dyDescent="0.3">
      <c r="B9" s="7"/>
      <c r="D9">
        <v>216</v>
      </c>
      <c r="E9" t="s">
        <v>68</v>
      </c>
      <c r="F9" s="8" t="s">
        <v>250</v>
      </c>
      <c r="G9" s="9">
        <v>62900000</v>
      </c>
      <c r="H9" t="s">
        <v>70</v>
      </c>
      <c r="I9" s="10">
        <v>25</v>
      </c>
      <c r="J9" s="10">
        <v>0</v>
      </c>
    </row>
    <row r="10" spans="1:10" x14ac:dyDescent="0.3">
      <c r="A10">
        <v>74</v>
      </c>
      <c r="B10" s="7" t="s">
        <v>251</v>
      </c>
      <c r="C10">
        <v>74</v>
      </c>
      <c r="D10">
        <v>217</v>
      </c>
      <c r="E10" t="s">
        <v>126</v>
      </c>
      <c r="F10" s="8" t="s">
        <v>252</v>
      </c>
      <c r="G10" s="9">
        <v>43000019</v>
      </c>
      <c r="H10" t="s">
        <v>228</v>
      </c>
      <c r="I10" s="10">
        <v>2420</v>
      </c>
      <c r="J10" s="10">
        <v>0</v>
      </c>
    </row>
    <row r="11" spans="1:10" x14ac:dyDescent="0.3">
      <c r="B11" s="7"/>
      <c r="D11">
        <v>218</v>
      </c>
      <c r="E11" t="s">
        <v>229</v>
      </c>
      <c r="F11" s="8" t="s">
        <v>252</v>
      </c>
      <c r="G11" s="9">
        <v>47700000</v>
      </c>
      <c r="H11" t="s">
        <v>130</v>
      </c>
      <c r="I11" s="10">
        <v>0</v>
      </c>
      <c r="J11" s="10">
        <v>420</v>
      </c>
    </row>
    <row r="12" spans="1:10" x14ac:dyDescent="0.3">
      <c r="B12" s="7"/>
      <c r="D12">
        <v>219</v>
      </c>
      <c r="E12" t="s">
        <v>230</v>
      </c>
      <c r="F12" s="8" t="s">
        <v>252</v>
      </c>
      <c r="G12" s="9">
        <v>70500000</v>
      </c>
      <c r="H12" t="s">
        <v>131</v>
      </c>
      <c r="I12" s="10">
        <v>0</v>
      </c>
      <c r="J12" s="10">
        <v>2000</v>
      </c>
    </row>
    <row r="13" spans="1:10" x14ac:dyDescent="0.3">
      <c r="A13">
        <v>71</v>
      </c>
      <c r="B13" s="7" t="s">
        <v>253</v>
      </c>
      <c r="C13">
        <v>75</v>
      </c>
      <c r="D13">
        <v>220</v>
      </c>
      <c r="E13" t="s">
        <v>71</v>
      </c>
      <c r="F13" s="8" t="s">
        <v>254</v>
      </c>
      <c r="G13" s="9">
        <v>41000019</v>
      </c>
      <c r="H13" t="s">
        <v>48</v>
      </c>
      <c r="I13" s="10">
        <v>0</v>
      </c>
      <c r="J13" s="10">
        <v>160.85</v>
      </c>
    </row>
    <row r="14" spans="1:10" x14ac:dyDescent="0.3">
      <c r="B14" s="7"/>
      <c r="D14">
        <v>221</v>
      </c>
      <c r="E14" t="s">
        <v>115</v>
      </c>
      <c r="F14" s="8" t="s">
        <v>254</v>
      </c>
      <c r="G14" s="9">
        <v>47200000</v>
      </c>
      <c r="H14" t="s">
        <v>75</v>
      </c>
      <c r="I14" s="10">
        <v>27.92</v>
      </c>
      <c r="J14" s="10">
        <v>0</v>
      </c>
    </row>
    <row r="15" spans="1:10" x14ac:dyDescent="0.3">
      <c r="B15" s="7"/>
      <c r="D15">
        <v>222</v>
      </c>
      <c r="E15" t="s">
        <v>47</v>
      </c>
      <c r="F15" s="8" t="s">
        <v>254</v>
      </c>
      <c r="G15" s="9">
        <v>62840000</v>
      </c>
      <c r="H15" t="s">
        <v>116</v>
      </c>
      <c r="I15" s="10">
        <v>132.93</v>
      </c>
      <c r="J15" s="10">
        <v>0</v>
      </c>
    </row>
    <row r="16" spans="1:10" x14ac:dyDescent="0.3">
      <c r="A16">
        <v>101</v>
      </c>
      <c r="B16" s="7" t="s">
        <v>253</v>
      </c>
      <c r="C16">
        <v>76</v>
      </c>
      <c r="D16">
        <v>223</v>
      </c>
      <c r="E16" t="s">
        <v>47</v>
      </c>
      <c r="F16" s="8" t="s">
        <v>255</v>
      </c>
      <c r="G16" s="9">
        <v>57200000</v>
      </c>
      <c r="H16" t="s">
        <v>67</v>
      </c>
      <c r="I16" s="10">
        <v>0</v>
      </c>
      <c r="J16" s="10">
        <v>160.85</v>
      </c>
    </row>
    <row r="17" spans="1:10" x14ac:dyDescent="0.3">
      <c r="B17" s="7"/>
      <c r="D17">
        <v>224</v>
      </c>
      <c r="E17" t="s">
        <v>47</v>
      </c>
      <c r="F17" s="8" t="s">
        <v>255</v>
      </c>
      <c r="G17" s="9">
        <v>41000019</v>
      </c>
      <c r="H17" t="s">
        <v>48</v>
      </c>
      <c r="I17" s="10">
        <v>160.85</v>
      </c>
      <c r="J17" s="10">
        <v>0</v>
      </c>
    </row>
    <row r="18" spans="1:10" x14ac:dyDescent="0.3">
      <c r="A18">
        <v>66</v>
      </c>
      <c r="B18" s="7" t="s">
        <v>256</v>
      </c>
      <c r="C18">
        <v>77</v>
      </c>
      <c r="D18">
        <v>225</v>
      </c>
      <c r="E18" t="s">
        <v>257</v>
      </c>
      <c r="F18" s="8" t="s">
        <v>258</v>
      </c>
      <c r="G18" s="9">
        <v>41000005</v>
      </c>
      <c r="H18" t="s">
        <v>34</v>
      </c>
      <c r="I18" s="10">
        <v>0</v>
      </c>
      <c r="J18" s="10">
        <v>157.30000000000001</v>
      </c>
    </row>
    <row r="19" spans="1:10" x14ac:dyDescent="0.3">
      <c r="B19" s="7"/>
      <c r="D19">
        <v>226</v>
      </c>
      <c r="E19" t="s">
        <v>82</v>
      </c>
      <c r="F19" s="8" t="s">
        <v>258</v>
      </c>
      <c r="G19" s="9">
        <v>47200000</v>
      </c>
      <c r="H19" t="s">
        <v>75</v>
      </c>
      <c r="I19" s="10">
        <v>27.3</v>
      </c>
      <c r="J19" s="10">
        <v>0</v>
      </c>
    </row>
    <row r="20" spans="1:10" x14ac:dyDescent="0.3">
      <c r="B20" s="7"/>
      <c r="D20">
        <v>227</v>
      </c>
      <c r="E20" t="s">
        <v>33</v>
      </c>
      <c r="F20" s="8" t="s">
        <v>258</v>
      </c>
      <c r="G20" s="9">
        <v>62900025</v>
      </c>
      <c r="H20" t="s">
        <v>144</v>
      </c>
      <c r="I20" s="10">
        <v>130</v>
      </c>
      <c r="J20" s="10">
        <v>0</v>
      </c>
    </row>
    <row r="21" spans="1:10" x14ac:dyDescent="0.3">
      <c r="A21">
        <v>76</v>
      </c>
      <c r="B21" s="7" t="s">
        <v>259</v>
      </c>
      <c r="C21">
        <v>78</v>
      </c>
      <c r="D21">
        <v>228</v>
      </c>
      <c r="E21" t="s">
        <v>126</v>
      </c>
      <c r="F21" s="8" t="s">
        <v>260</v>
      </c>
      <c r="G21" s="9">
        <v>43000010</v>
      </c>
      <c r="H21" t="s">
        <v>53</v>
      </c>
      <c r="I21" s="10">
        <v>300</v>
      </c>
      <c r="J21" s="10">
        <v>0</v>
      </c>
    </row>
    <row r="22" spans="1:10" x14ac:dyDescent="0.3">
      <c r="B22" s="7"/>
      <c r="D22">
        <v>229</v>
      </c>
      <c r="E22" t="s">
        <v>52</v>
      </c>
      <c r="F22" s="8" t="s">
        <v>260</v>
      </c>
      <c r="G22" s="9">
        <v>70500000</v>
      </c>
      <c r="H22" t="s">
        <v>131</v>
      </c>
      <c r="I22" s="10">
        <v>0</v>
      </c>
      <c r="J22" s="10">
        <v>300</v>
      </c>
    </row>
    <row r="23" spans="1:10" x14ac:dyDescent="0.3">
      <c r="A23">
        <v>77</v>
      </c>
      <c r="B23" s="7" t="s">
        <v>259</v>
      </c>
      <c r="C23">
        <v>79</v>
      </c>
      <c r="D23">
        <v>230</v>
      </c>
      <c r="E23" t="s">
        <v>126</v>
      </c>
      <c r="F23" s="8" t="s">
        <v>261</v>
      </c>
      <c r="G23" s="9">
        <v>43000011</v>
      </c>
      <c r="H23" t="s">
        <v>55</v>
      </c>
      <c r="I23" s="10">
        <v>2420</v>
      </c>
      <c r="J23" s="10">
        <v>0</v>
      </c>
    </row>
    <row r="24" spans="1:10" x14ac:dyDescent="0.3">
      <c r="B24" s="7"/>
      <c r="D24">
        <v>231</v>
      </c>
      <c r="E24" t="s">
        <v>160</v>
      </c>
      <c r="F24" s="8" t="s">
        <v>261</v>
      </c>
      <c r="G24" s="9">
        <v>47700000</v>
      </c>
      <c r="H24" t="s">
        <v>130</v>
      </c>
      <c r="I24" s="10">
        <v>0</v>
      </c>
      <c r="J24" s="10">
        <v>420</v>
      </c>
    </row>
    <row r="25" spans="1:10" x14ac:dyDescent="0.3">
      <c r="B25" s="7"/>
      <c r="D25">
        <v>232</v>
      </c>
      <c r="E25" t="s">
        <v>54</v>
      </c>
      <c r="F25" s="8" t="s">
        <v>261</v>
      </c>
      <c r="G25" s="9">
        <v>70500000</v>
      </c>
      <c r="H25" t="s">
        <v>131</v>
      </c>
      <c r="I25" s="10">
        <v>0</v>
      </c>
      <c r="J25" s="10">
        <v>2000</v>
      </c>
    </row>
    <row r="26" spans="1:10" x14ac:dyDescent="0.3">
      <c r="A26">
        <v>102</v>
      </c>
      <c r="B26" s="7" t="s">
        <v>259</v>
      </c>
      <c r="C26">
        <v>80</v>
      </c>
      <c r="D26">
        <v>233</v>
      </c>
      <c r="E26" t="s">
        <v>33</v>
      </c>
      <c r="F26" s="8" t="s">
        <v>262</v>
      </c>
      <c r="G26" s="9">
        <v>57200000</v>
      </c>
      <c r="H26" t="s">
        <v>67</v>
      </c>
      <c r="I26" s="10">
        <v>0</v>
      </c>
      <c r="J26" s="10">
        <v>186.34</v>
      </c>
    </row>
    <row r="27" spans="1:10" x14ac:dyDescent="0.3">
      <c r="B27" s="7"/>
      <c r="D27">
        <v>234</v>
      </c>
      <c r="E27" t="s">
        <v>33</v>
      </c>
      <c r="F27" s="8" t="s">
        <v>262</v>
      </c>
      <c r="G27" s="9">
        <v>41000005</v>
      </c>
      <c r="H27" t="s">
        <v>34</v>
      </c>
      <c r="I27" s="10">
        <v>186.34</v>
      </c>
      <c r="J27" s="10">
        <v>0</v>
      </c>
    </row>
    <row r="28" spans="1:10" x14ac:dyDescent="0.3">
      <c r="A28">
        <v>69</v>
      </c>
      <c r="B28" s="7" t="s">
        <v>263</v>
      </c>
      <c r="C28">
        <v>81</v>
      </c>
      <c r="D28">
        <v>235</v>
      </c>
      <c r="E28" t="s">
        <v>71</v>
      </c>
      <c r="F28" s="8" t="s">
        <v>264</v>
      </c>
      <c r="G28" s="9">
        <v>40000014</v>
      </c>
      <c r="H28" t="s">
        <v>30</v>
      </c>
      <c r="I28" s="10">
        <v>0</v>
      </c>
      <c r="J28" s="10">
        <v>76.95</v>
      </c>
    </row>
    <row r="29" spans="1:10" x14ac:dyDescent="0.3">
      <c r="B29" s="7"/>
      <c r="D29">
        <v>236</v>
      </c>
      <c r="E29" t="s">
        <v>265</v>
      </c>
      <c r="F29" s="8" t="s">
        <v>264</v>
      </c>
      <c r="G29" s="9">
        <v>47200000</v>
      </c>
      <c r="H29" t="s">
        <v>75</v>
      </c>
      <c r="I29" s="10">
        <v>2.96</v>
      </c>
      <c r="J29" s="10">
        <v>0</v>
      </c>
    </row>
    <row r="30" spans="1:10" x14ac:dyDescent="0.3">
      <c r="B30" s="7"/>
      <c r="D30">
        <v>237</v>
      </c>
      <c r="E30" t="s">
        <v>30</v>
      </c>
      <c r="F30" s="8" t="s">
        <v>264</v>
      </c>
      <c r="G30" s="9">
        <v>60000000</v>
      </c>
      <c r="H30" t="s">
        <v>136</v>
      </c>
      <c r="I30" s="10">
        <v>73.989999999999995</v>
      </c>
      <c r="J30" s="10">
        <v>0</v>
      </c>
    </row>
    <row r="31" spans="1:10" x14ac:dyDescent="0.3">
      <c r="A31">
        <v>70</v>
      </c>
      <c r="B31" s="7" t="s">
        <v>263</v>
      </c>
      <c r="C31">
        <v>82</v>
      </c>
      <c r="D31">
        <v>238</v>
      </c>
      <c r="E31" t="s">
        <v>71</v>
      </c>
      <c r="F31" s="8" t="s">
        <v>266</v>
      </c>
      <c r="G31" s="9">
        <v>41000023</v>
      </c>
      <c r="H31" t="s">
        <v>102</v>
      </c>
      <c r="I31" s="10">
        <v>0</v>
      </c>
      <c r="J31" s="10">
        <v>115.79</v>
      </c>
    </row>
    <row r="32" spans="1:10" x14ac:dyDescent="0.3">
      <c r="B32" s="7"/>
      <c r="D32">
        <v>239</v>
      </c>
      <c r="E32" t="s">
        <v>103</v>
      </c>
      <c r="F32" s="8" t="s">
        <v>266</v>
      </c>
      <c r="G32" s="9">
        <v>47200000</v>
      </c>
      <c r="H32" t="s">
        <v>75</v>
      </c>
      <c r="I32" s="10">
        <v>4.45</v>
      </c>
      <c r="J32" s="10">
        <v>0</v>
      </c>
    </row>
    <row r="33" spans="1:10" x14ac:dyDescent="0.3">
      <c r="B33" s="7"/>
      <c r="D33">
        <v>240</v>
      </c>
      <c r="E33" t="s">
        <v>104</v>
      </c>
      <c r="F33" s="8" t="s">
        <v>266</v>
      </c>
      <c r="G33" s="9">
        <v>62900000</v>
      </c>
      <c r="H33" t="s">
        <v>70</v>
      </c>
      <c r="I33" s="10">
        <v>111.34</v>
      </c>
      <c r="J33" s="10">
        <v>0</v>
      </c>
    </row>
    <row r="34" spans="1:10" x14ac:dyDescent="0.3">
      <c r="A34">
        <v>78</v>
      </c>
      <c r="B34" s="7" t="s">
        <v>263</v>
      </c>
      <c r="C34">
        <v>83</v>
      </c>
      <c r="D34">
        <v>241</v>
      </c>
      <c r="E34" t="s">
        <v>126</v>
      </c>
      <c r="F34" s="8" t="s">
        <v>267</v>
      </c>
      <c r="G34" s="9">
        <v>43000010</v>
      </c>
      <c r="H34" t="s">
        <v>53</v>
      </c>
      <c r="I34" s="10">
        <v>181.5</v>
      </c>
      <c r="J34" s="10">
        <v>0</v>
      </c>
    </row>
    <row r="35" spans="1:10" x14ac:dyDescent="0.3">
      <c r="B35" s="7"/>
      <c r="D35">
        <v>242</v>
      </c>
      <c r="E35" t="s">
        <v>268</v>
      </c>
      <c r="F35" s="8" t="s">
        <v>267</v>
      </c>
      <c r="G35" s="9">
        <v>47700000</v>
      </c>
      <c r="H35" t="s">
        <v>130</v>
      </c>
      <c r="I35" s="10">
        <v>0</v>
      </c>
      <c r="J35" s="10">
        <v>31.5</v>
      </c>
    </row>
    <row r="36" spans="1:10" x14ac:dyDescent="0.3">
      <c r="B36" s="7"/>
      <c r="D36">
        <v>243</v>
      </c>
      <c r="E36" t="s">
        <v>52</v>
      </c>
      <c r="F36" s="8" t="s">
        <v>267</v>
      </c>
      <c r="G36" s="9">
        <v>70500000</v>
      </c>
      <c r="H36" t="s">
        <v>131</v>
      </c>
      <c r="I36" s="10">
        <v>0</v>
      </c>
      <c r="J36" s="10">
        <v>150</v>
      </c>
    </row>
    <row r="37" spans="1:10" x14ac:dyDescent="0.3">
      <c r="B37" s="7"/>
      <c r="F37" s="8" t="s">
        <v>85</v>
      </c>
      <c r="G37" s="9"/>
      <c r="H37" s="12" t="s">
        <v>269</v>
      </c>
      <c r="I37" s="13">
        <f>SUM(I8:I36)</f>
        <v>6204.58</v>
      </c>
      <c r="J37" s="13">
        <f>SUM(J8:J36)</f>
        <v>6204.58</v>
      </c>
    </row>
  </sheetData>
  <pageMargins left="0.75" right="0.75" top="1" bottom="1" header="0.5" footer="0.5"/>
  <pageSetup paperSize="9" fitToHeight="10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B401-C13C-4A82-8C24-FB5EC0D9C129}">
  <sheetPr>
    <pageSetUpPr fitToPage="1"/>
  </sheetPr>
  <dimension ref="A1:J32"/>
  <sheetViews>
    <sheetView workbookViewId="0"/>
  </sheetViews>
  <sheetFormatPr baseColWidth="10" defaultColWidth="8.88671875" defaultRowHeight="14.4" x14ac:dyDescent="0.3"/>
  <cols>
    <col min="1" max="1" width="8" customWidth="1"/>
    <col min="2" max="2" width="11.44140625" customWidth="1"/>
    <col min="3" max="3" width="7.5546875" customWidth="1"/>
    <col min="4" max="4" width="7.109375" customWidth="1"/>
    <col min="5" max="5" width="28" customWidth="1"/>
    <col min="6" max="6" width="10.6640625" customWidth="1"/>
    <col min="7" max="7" width="9.33203125" customWidth="1"/>
    <col min="8" max="8" width="30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103</v>
      </c>
      <c r="B8" s="3" t="s">
        <v>270</v>
      </c>
      <c r="C8">
        <v>84</v>
      </c>
      <c r="D8">
        <v>244</v>
      </c>
      <c r="E8" t="s">
        <v>68</v>
      </c>
      <c r="F8" s="4" t="s">
        <v>271</v>
      </c>
      <c r="G8" s="5">
        <v>57200000</v>
      </c>
      <c r="H8" t="s">
        <v>67</v>
      </c>
      <c r="I8" s="6">
        <v>0</v>
      </c>
      <c r="J8" s="6">
        <v>25</v>
      </c>
    </row>
    <row r="9" spans="1:10" x14ac:dyDescent="0.3">
      <c r="B9" s="7"/>
      <c r="D9">
        <v>245</v>
      </c>
      <c r="E9" t="s">
        <v>68</v>
      </c>
      <c r="F9" s="8" t="s">
        <v>271</v>
      </c>
      <c r="G9" s="9">
        <v>62900000</v>
      </c>
      <c r="H9" t="s">
        <v>70</v>
      </c>
      <c r="I9" s="10">
        <v>25</v>
      </c>
      <c r="J9" s="10">
        <v>0</v>
      </c>
    </row>
    <row r="10" spans="1:10" x14ac:dyDescent="0.3">
      <c r="A10">
        <v>79</v>
      </c>
      <c r="B10" s="7" t="s">
        <v>272</v>
      </c>
      <c r="C10">
        <v>85</v>
      </c>
      <c r="D10">
        <v>246</v>
      </c>
      <c r="E10" t="s">
        <v>126</v>
      </c>
      <c r="F10" s="8" t="s">
        <v>273</v>
      </c>
      <c r="G10" s="9">
        <v>43000019</v>
      </c>
      <c r="H10" t="s">
        <v>228</v>
      </c>
      <c r="I10" s="10">
        <v>2420</v>
      </c>
      <c r="J10" s="10">
        <v>0</v>
      </c>
    </row>
    <row r="11" spans="1:10" x14ac:dyDescent="0.3">
      <c r="B11" s="7"/>
      <c r="D11">
        <v>247</v>
      </c>
      <c r="E11" t="s">
        <v>229</v>
      </c>
      <c r="F11" s="8" t="s">
        <v>273</v>
      </c>
      <c r="G11" s="9">
        <v>47700000</v>
      </c>
      <c r="H11" t="s">
        <v>130</v>
      </c>
      <c r="I11" s="10">
        <v>0</v>
      </c>
      <c r="J11" s="10">
        <v>420</v>
      </c>
    </row>
    <row r="12" spans="1:10" x14ac:dyDescent="0.3">
      <c r="B12" s="7"/>
      <c r="D12">
        <v>248</v>
      </c>
      <c r="E12" t="s">
        <v>230</v>
      </c>
      <c r="F12" s="8" t="s">
        <v>273</v>
      </c>
      <c r="G12" s="9">
        <v>70500000</v>
      </c>
      <c r="H12" t="s">
        <v>131</v>
      </c>
      <c r="I12" s="10">
        <v>0</v>
      </c>
      <c r="J12" s="10">
        <v>2000</v>
      </c>
    </row>
    <row r="13" spans="1:10" x14ac:dyDescent="0.3">
      <c r="A13">
        <v>104</v>
      </c>
      <c r="B13" s="7" t="s">
        <v>274</v>
      </c>
      <c r="C13">
        <v>86</v>
      </c>
      <c r="D13">
        <v>249</v>
      </c>
      <c r="E13" t="s">
        <v>47</v>
      </c>
      <c r="F13" s="8" t="s">
        <v>275</v>
      </c>
      <c r="G13" s="9">
        <v>57200000</v>
      </c>
      <c r="H13" t="s">
        <v>67</v>
      </c>
      <c r="I13" s="10">
        <v>55.43</v>
      </c>
      <c r="J13" s="10">
        <v>0</v>
      </c>
    </row>
    <row r="14" spans="1:10" x14ac:dyDescent="0.3">
      <c r="B14" s="7"/>
      <c r="D14">
        <v>250</v>
      </c>
      <c r="E14" t="s">
        <v>47</v>
      </c>
      <c r="F14" s="8" t="s">
        <v>275</v>
      </c>
      <c r="G14" s="9">
        <v>41000019</v>
      </c>
      <c r="H14" t="s">
        <v>48</v>
      </c>
      <c r="I14" s="10">
        <v>0</v>
      </c>
      <c r="J14" s="10">
        <v>55.43</v>
      </c>
    </row>
    <row r="15" spans="1:10" x14ac:dyDescent="0.3">
      <c r="A15">
        <v>72</v>
      </c>
      <c r="B15" s="7" t="s">
        <v>276</v>
      </c>
      <c r="C15">
        <v>87</v>
      </c>
      <c r="D15">
        <v>251</v>
      </c>
      <c r="E15" t="s">
        <v>71</v>
      </c>
      <c r="F15" s="8" t="s">
        <v>277</v>
      </c>
      <c r="G15" s="9">
        <v>41000019</v>
      </c>
      <c r="H15" t="s">
        <v>48</v>
      </c>
      <c r="I15" s="10">
        <v>0</v>
      </c>
      <c r="J15" s="10">
        <v>170.6</v>
      </c>
    </row>
    <row r="16" spans="1:10" x14ac:dyDescent="0.3">
      <c r="B16" s="7"/>
      <c r="D16">
        <v>252</v>
      </c>
      <c r="E16" t="s">
        <v>115</v>
      </c>
      <c r="F16" s="8" t="s">
        <v>277</v>
      </c>
      <c r="G16" s="9">
        <v>47200000</v>
      </c>
      <c r="H16" t="s">
        <v>75</v>
      </c>
      <c r="I16" s="10">
        <v>29.61</v>
      </c>
      <c r="J16" s="10">
        <v>0</v>
      </c>
    </row>
    <row r="17" spans="1:10" x14ac:dyDescent="0.3">
      <c r="B17" s="7"/>
      <c r="D17">
        <v>253</v>
      </c>
      <c r="E17" t="s">
        <v>47</v>
      </c>
      <c r="F17" s="8" t="s">
        <v>277</v>
      </c>
      <c r="G17" s="9">
        <v>62840000</v>
      </c>
      <c r="H17" t="s">
        <v>116</v>
      </c>
      <c r="I17" s="10">
        <v>140.99</v>
      </c>
      <c r="J17" s="10">
        <v>0</v>
      </c>
    </row>
    <row r="18" spans="1:10" x14ac:dyDescent="0.3">
      <c r="A18">
        <v>105</v>
      </c>
      <c r="B18" s="7" t="s">
        <v>276</v>
      </c>
      <c r="C18">
        <v>88</v>
      </c>
      <c r="D18">
        <v>254</v>
      </c>
      <c r="E18" t="s">
        <v>47</v>
      </c>
      <c r="F18" s="8" t="s">
        <v>278</v>
      </c>
      <c r="G18" s="9">
        <v>57200000</v>
      </c>
      <c r="H18" t="s">
        <v>67</v>
      </c>
      <c r="I18" s="10">
        <v>0</v>
      </c>
      <c r="J18" s="10">
        <v>170.6</v>
      </c>
    </row>
    <row r="19" spans="1:10" x14ac:dyDescent="0.3">
      <c r="B19" s="7"/>
      <c r="D19">
        <v>255</v>
      </c>
      <c r="E19" t="s">
        <v>47</v>
      </c>
      <c r="F19" s="8" t="s">
        <v>278</v>
      </c>
      <c r="G19" s="9">
        <v>41000019</v>
      </c>
      <c r="H19" t="s">
        <v>48</v>
      </c>
      <c r="I19" s="10">
        <v>170.6</v>
      </c>
      <c r="J19" s="10">
        <v>0</v>
      </c>
    </row>
    <row r="20" spans="1:10" x14ac:dyDescent="0.3">
      <c r="A20">
        <v>84</v>
      </c>
      <c r="B20" s="7" t="s">
        <v>279</v>
      </c>
      <c r="C20">
        <v>89</v>
      </c>
      <c r="D20">
        <v>256</v>
      </c>
      <c r="E20" t="s">
        <v>71</v>
      </c>
      <c r="F20" s="8" t="s">
        <v>280</v>
      </c>
      <c r="G20" s="9">
        <v>41000027</v>
      </c>
      <c r="H20" t="s">
        <v>281</v>
      </c>
      <c r="I20" s="10">
        <v>0</v>
      </c>
      <c r="J20" s="10">
        <v>51.31</v>
      </c>
    </row>
    <row r="21" spans="1:10" x14ac:dyDescent="0.3">
      <c r="B21" s="7"/>
      <c r="D21">
        <v>257</v>
      </c>
      <c r="E21" t="s">
        <v>282</v>
      </c>
      <c r="F21" s="8" t="s">
        <v>280</v>
      </c>
      <c r="G21" s="9">
        <v>62400000</v>
      </c>
      <c r="H21" t="s">
        <v>283</v>
      </c>
      <c r="I21" s="10">
        <v>51.31</v>
      </c>
      <c r="J21" s="10">
        <v>0</v>
      </c>
    </row>
    <row r="22" spans="1:10" x14ac:dyDescent="0.3">
      <c r="A22">
        <v>86</v>
      </c>
      <c r="B22" s="7" t="s">
        <v>279</v>
      </c>
      <c r="C22">
        <v>90</v>
      </c>
      <c r="D22">
        <v>258</v>
      </c>
      <c r="E22" t="s">
        <v>284</v>
      </c>
      <c r="F22" s="8" t="s">
        <v>285</v>
      </c>
      <c r="G22" s="9">
        <v>41000000</v>
      </c>
      <c r="H22" t="s">
        <v>154</v>
      </c>
      <c r="I22" s="10">
        <v>0</v>
      </c>
      <c r="J22" s="10">
        <v>76.3</v>
      </c>
    </row>
    <row r="23" spans="1:10" x14ac:dyDescent="0.3">
      <c r="B23" s="7"/>
      <c r="D23">
        <v>259</v>
      </c>
      <c r="E23" t="s">
        <v>156</v>
      </c>
      <c r="F23" s="8" t="s">
        <v>285</v>
      </c>
      <c r="G23" s="9">
        <v>62400000</v>
      </c>
      <c r="H23" t="s">
        <v>283</v>
      </c>
      <c r="I23" s="10">
        <v>76.3</v>
      </c>
      <c r="J23" s="10">
        <v>0</v>
      </c>
    </row>
    <row r="24" spans="1:10" x14ac:dyDescent="0.3">
      <c r="A24">
        <v>67</v>
      </c>
      <c r="B24" s="7" t="s">
        <v>286</v>
      </c>
      <c r="C24">
        <v>91</v>
      </c>
      <c r="D24">
        <v>260</v>
      </c>
      <c r="E24" t="s">
        <v>287</v>
      </c>
      <c r="F24" s="8" t="s">
        <v>288</v>
      </c>
      <c r="G24" s="9">
        <v>41000005</v>
      </c>
      <c r="H24" t="s">
        <v>34</v>
      </c>
      <c r="I24" s="10">
        <v>0</v>
      </c>
      <c r="J24" s="10">
        <v>157.30000000000001</v>
      </c>
    </row>
    <row r="25" spans="1:10" x14ac:dyDescent="0.3">
      <c r="B25" s="7"/>
      <c r="D25">
        <v>261</v>
      </c>
      <c r="E25" t="s">
        <v>82</v>
      </c>
      <c r="F25" s="8" t="s">
        <v>288</v>
      </c>
      <c r="G25" s="9">
        <v>47200000</v>
      </c>
      <c r="H25" t="s">
        <v>75</v>
      </c>
      <c r="I25" s="10">
        <v>27.3</v>
      </c>
      <c r="J25" s="10">
        <v>0</v>
      </c>
    </row>
    <row r="26" spans="1:10" x14ac:dyDescent="0.3">
      <c r="B26" s="7"/>
      <c r="D26">
        <v>262</v>
      </c>
      <c r="E26" t="s">
        <v>33</v>
      </c>
      <c r="F26" s="8" t="s">
        <v>288</v>
      </c>
      <c r="G26" s="9">
        <v>62900025</v>
      </c>
      <c r="H26" t="s">
        <v>144</v>
      </c>
      <c r="I26" s="10">
        <v>130</v>
      </c>
      <c r="J26" s="10">
        <v>0</v>
      </c>
    </row>
    <row r="27" spans="1:10" x14ac:dyDescent="0.3">
      <c r="A27">
        <v>80</v>
      </c>
      <c r="B27" s="7" t="s">
        <v>289</v>
      </c>
      <c r="C27">
        <v>92</v>
      </c>
      <c r="D27">
        <v>263</v>
      </c>
      <c r="E27" t="s">
        <v>126</v>
      </c>
      <c r="F27" s="8" t="s">
        <v>290</v>
      </c>
      <c r="G27" s="9">
        <v>43000020</v>
      </c>
      <c r="H27" t="s">
        <v>291</v>
      </c>
      <c r="I27" s="10">
        <v>295.24</v>
      </c>
      <c r="J27" s="10">
        <v>0</v>
      </c>
    </row>
    <row r="28" spans="1:10" x14ac:dyDescent="0.3">
      <c r="B28" s="7"/>
      <c r="D28">
        <v>264</v>
      </c>
      <c r="E28" t="s">
        <v>292</v>
      </c>
      <c r="F28" s="8" t="s">
        <v>290</v>
      </c>
      <c r="G28" s="9">
        <v>47700000</v>
      </c>
      <c r="H28" t="s">
        <v>130</v>
      </c>
      <c r="I28" s="10">
        <v>0</v>
      </c>
      <c r="J28" s="10">
        <v>51.24</v>
      </c>
    </row>
    <row r="29" spans="1:10" x14ac:dyDescent="0.3">
      <c r="B29" s="7"/>
      <c r="D29">
        <v>265</v>
      </c>
      <c r="E29" t="s">
        <v>293</v>
      </c>
      <c r="F29" s="8" t="s">
        <v>290</v>
      </c>
      <c r="G29" s="9">
        <v>70500000</v>
      </c>
      <c r="H29" t="s">
        <v>131</v>
      </c>
      <c r="I29" s="10">
        <v>0</v>
      </c>
      <c r="J29" s="10">
        <v>244</v>
      </c>
    </row>
    <row r="30" spans="1:10" x14ac:dyDescent="0.3">
      <c r="A30">
        <v>106</v>
      </c>
      <c r="B30" s="7" t="s">
        <v>294</v>
      </c>
      <c r="C30">
        <v>93</v>
      </c>
      <c r="D30">
        <v>266</v>
      </c>
      <c r="E30" t="s">
        <v>33</v>
      </c>
      <c r="F30" s="8" t="s">
        <v>295</v>
      </c>
      <c r="G30" s="9">
        <v>57200000</v>
      </c>
      <c r="H30" t="s">
        <v>67</v>
      </c>
      <c r="I30" s="10">
        <v>0</v>
      </c>
      <c r="J30" s="10">
        <v>289.06</v>
      </c>
    </row>
    <row r="31" spans="1:10" x14ac:dyDescent="0.3">
      <c r="B31" s="7"/>
      <c r="D31">
        <v>267</v>
      </c>
      <c r="E31" t="s">
        <v>33</v>
      </c>
      <c r="F31" s="8" t="s">
        <v>295</v>
      </c>
      <c r="G31" s="9">
        <v>41000005</v>
      </c>
      <c r="H31" t="s">
        <v>34</v>
      </c>
      <c r="I31" s="10">
        <v>289.06</v>
      </c>
      <c r="J31" s="10">
        <v>0</v>
      </c>
    </row>
    <row r="32" spans="1:10" x14ac:dyDescent="0.3">
      <c r="B32" s="7"/>
      <c r="F32" s="8" t="s">
        <v>85</v>
      </c>
      <c r="G32" s="9"/>
      <c r="H32" s="12" t="s">
        <v>296</v>
      </c>
      <c r="I32" s="13">
        <f>SUM(I8:I31)</f>
        <v>3710.8399999999997</v>
      </c>
      <c r="J32" s="13">
        <f>SUM(J8:J31)</f>
        <v>3710.8399999999997</v>
      </c>
    </row>
  </sheetData>
  <pageMargins left="0.75" right="0.75" top="1" bottom="1" header="0.5" footer="0.5"/>
  <pageSetup paperSize="9" fitToHeight="10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3B9A-FFB3-4792-AA1B-05BDEC06E724}">
  <sheetPr>
    <pageSetUpPr fitToPage="1"/>
  </sheetPr>
  <dimension ref="A1:J113"/>
  <sheetViews>
    <sheetView workbookViewId="0"/>
  </sheetViews>
  <sheetFormatPr baseColWidth="10" defaultColWidth="8.88671875" defaultRowHeight="14.4" x14ac:dyDescent="0.3"/>
  <cols>
    <col min="1" max="1" width="8" customWidth="1"/>
    <col min="2" max="2" width="9.88671875" customWidth="1"/>
    <col min="3" max="3" width="7.5546875" customWidth="1"/>
    <col min="4" max="4" width="7.109375" customWidth="1"/>
    <col min="5" max="5" width="28.88671875" customWidth="1"/>
    <col min="6" max="6" width="10.6640625" customWidth="1"/>
    <col min="7" max="7" width="9.33203125" customWidth="1"/>
    <col min="8" max="8" width="32" customWidth="1"/>
    <col min="9" max="9" width="12.33203125" customWidth="1"/>
    <col min="10" max="10" width="12.88671875" customWidth="1"/>
  </cols>
  <sheetData>
    <row r="1" spans="1:10" ht="22.8" x14ac:dyDescent="0.4">
      <c r="A1" s="14" t="s">
        <v>87</v>
      </c>
    </row>
    <row r="3" spans="1:10" x14ac:dyDescent="0.3">
      <c r="A3" s="11" t="s">
        <v>88</v>
      </c>
    </row>
    <row r="4" spans="1:10" x14ac:dyDescent="0.3">
      <c r="A4" s="11" t="s">
        <v>89</v>
      </c>
    </row>
    <row r="5" spans="1:10" x14ac:dyDescent="0.3">
      <c r="A5" s="11" t="s">
        <v>90</v>
      </c>
    </row>
    <row r="7" spans="1:10" ht="15.6" thickTop="1" thickBot="1" x14ac:dyDescent="0.35">
      <c r="A7" s="1" t="s">
        <v>0</v>
      </c>
      <c r="B7" s="1" t="s">
        <v>1</v>
      </c>
      <c r="C7" s="2" t="s">
        <v>2</v>
      </c>
      <c r="D7" s="2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2" t="s">
        <v>8</v>
      </c>
      <c r="J7" s="2" t="s">
        <v>9</v>
      </c>
    </row>
    <row r="8" spans="1:10" ht="15" thickTop="1" x14ac:dyDescent="0.3">
      <c r="A8">
        <v>107</v>
      </c>
      <c r="B8" s="3">
        <v>45261</v>
      </c>
      <c r="C8">
        <v>94</v>
      </c>
      <c r="D8">
        <v>268</v>
      </c>
      <c r="E8" t="s">
        <v>68</v>
      </c>
      <c r="F8" s="4" t="s">
        <v>297</v>
      </c>
      <c r="G8" s="5">
        <v>57200000</v>
      </c>
      <c r="H8" t="s">
        <v>67</v>
      </c>
      <c r="I8" s="6">
        <v>0</v>
      </c>
      <c r="J8" s="6">
        <v>25</v>
      </c>
    </row>
    <row r="9" spans="1:10" x14ac:dyDescent="0.3">
      <c r="B9" s="7"/>
      <c r="D9">
        <v>269</v>
      </c>
      <c r="E9" t="s">
        <v>68</v>
      </c>
      <c r="F9" s="8" t="s">
        <v>297</v>
      </c>
      <c r="G9" s="9">
        <v>62900000</v>
      </c>
      <c r="H9" t="s">
        <v>70</v>
      </c>
      <c r="I9" s="10">
        <v>25</v>
      </c>
      <c r="J9" s="10">
        <v>0</v>
      </c>
    </row>
    <row r="10" spans="1:10" x14ac:dyDescent="0.3">
      <c r="A10">
        <v>81</v>
      </c>
      <c r="B10" s="7">
        <v>45265</v>
      </c>
      <c r="C10">
        <v>95</v>
      </c>
      <c r="D10">
        <v>270</v>
      </c>
      <c r="E10" t="s">
        <v>126</v>
      </c>
      <c r="F10" s="8" t="s">
        <v>298</v>
      </c>
      <c r="G10" s="9">
        <v>43000011</v>
      </c>
      <c r="H10" t="s">
        <v>55</v>
      </c>
      <c r="I10" s="10">
        <v>2420</v>
      </c>
      <c r="J10" s="10">
        <v>0</v>
      </c>
    </row>
    <row r="11" spans="1:10" x14ac:dyDescent="0.3">
      <c r="B11" s="7"/>
      <c r="D11">
        <v>271</v>
      </c>
      <c r="E11" t="s">
        <v>160</v>
      </c>
      <c r="F11" s="8" t="s">
        <v>298</v>
      </c>
      <c r="G11" s="9">
        <v>47700000</v>
      </c>
      <c r="H11" t="s">
        <v>130</v>
      </c>
      <c r="I11" s="10">
        <v>0</v>
      </c>
      <c r="J11" s="10">
        <v>420</v>
      </c>
    </row>
    <row r="12" spans="1:10" x14ac:dyDescent="0.3">
      <c r="B12" s="7"/>
      <c r="D12">
        <v>272</v>
      </c>
      <c r="E12" t="s">
        <v>54</v>
      </c>
      <c r="F12" s="8" t="s">
        <v>298</v>
      </c>
      <c r="G12" s="9">
        <v>70500000</v>
      </c>
      <c r="H12" t="s">
        <v>131</v>
      </c>
      <c r="I12" s="10">
        <v>0</v>
      </c>
      <c r="J12" s="10">
        <v>2000</v>
      </c>
    </row>
    <row r="13" spans="1:10" x14ac:dyDescent="0.3">
      <c r="A13">
        <v>82</v>
      </c>
      <c r="B13" s="7">
        <v>45265</v>
      </c>
      <c r="C13">
        <v>96</v>
      </c>
      <c r="D13">
        <v>273</v>
      </c>
      <c r="E13" t="s">
        <v>126</v>
      </c>
      <c r="F13" s="8" t="s">
        <v>299</v>
      </c>
      <c r="G13" s="9">
        <v>43000021</v>
      </c>
      <c r="H13" t="s">
        <v>300</v>
      </c>
      <c r="I13" s="10">
        <v>172.14</v>
      </c>
      <c r="J13" s="10">
        <v>0</v>
      </c>
    </row>
    <row r="14" spans="1:10" x14ac:dyDescent="0.3">
      <c r="B14" s="7"/>
      <c r="D14">
        <v>274</v>
      </c>
      <c r="E14" t="s">
        <v>300</v>
      </c>
      <c r="F14" s="8" t="s">
        <v>299</v>
      </c>
      <c r="G14" s="9">
        <v>70500000</v>
      </c>
      <c r="H14" t="s">
        <v>131</v>
      </c>
      <c r="I14" s="10">
        <v>0</v>
      </c>
      <c r="J14" s="10">
        <v>172.14</v>
      </c>
    </row>
    <row r="15" spans="1:10" x14ac:dyDescent="0.3">
      <c r="A15">
        <v>85</v>
      </c>
      <c r="B15" s="7">
        <v>45265</v>
      </c>
      <c r="C15">
        <v>97</v>
      </c>
      <c r="D15">
        <v>275</v>
      </c>
      <c r="E15" t="s">
        <v>71</v>
      </c>
      <c r="F15" s="8" t="s">
        <v>301</v>
      </c>
      <c r="G15" s="9">
        <v>41000027</v>
      </c>
      <c r="H15" t="s">
        <v>281</v>
      </c>
      <c r="I15" s="10">
        <v>0</v>
      </c>
      <c r="J15" s="10">
        <v>22.11</v>
      </c>
    </row>
    <row r="16" spans="1:10" x14ac:dyDescent="0.3">
      <c r="B16" s="7"/>
      <c r="D16">
        <v>276</v>
      </c>
      <c r="E16" t="s">
        <v>302</v>
      </c>
      <c r="F16" s="8" t="s">
        <v>301</v>
      </c>
      <c r="G16" s="9">
        <v>47200000</v>
      </c>
      <c r="H16" t="s">
        <v>75</v>
      </c>
      <c r="I16" s="10">
        <v>3.84</v>
      </c>
      <c r="J16" s="10">
        <v>0</v>
      </c>
    </row>
    <row r="17" spans="1:10" x14ac:dyDescent="0.3">
      <c r="B17" s="7"/>
      <c r="D17">
        <v>277</v>
      </c>
      <c r="E17" t="s">
        <v>303</v>
      </c>
      <c r="F17" s="8" t="s">
        <v>301</v>
      </c>
      <c r="G17" s="9">
        <v>62900000</v>
      </c>
      <c r="H17" t="s">
        <v>70</v>
      </c>
      <c r="I17" s="10">
        <v>18.27</v>
      </c>
      <c r="J17" s="10">
        <v>0</v>
      </c>
    </row>
    <row r="18" spans="1:10" x14ac:dyDescent="0.3">
      <c r="A18">
        <v>73</v>
      </c>
      <c r="B18" s="7">
        <v>45273</v>
      </c>
      <c r="C18">
        <v>98</v>
      </c>
      <c r="D18">
        <v>278</v>
      </c>
      <c r="E18" t="s">
        <v>71</v>
      </c>
      <c r="F18" s="8" t="s">
        <v>304</v>
      </c>
      <c r="G18" s="9">
        <v>41000019</v>
      </c>
      <c r="H18" t="s">
        <v>48</v>
      </c>
      <c r="I18" s="10">
        <v>0</v>
      </c>
      <c r="J18" s="10">
        <v>184.39</v>
      </c>
    </row>
    <row r="19" spans="1:10" x14ac:dyDescent="0.3">
      <c r="B19" s="7"/>
      <c r="D19">
        <v>279</v>
      </c>
      <c r="E19" t="s">
        <v>115</v>
      </c>
      <c r="F19" s="8" t="s">
        <v>304</v>
      </c>
      <c r="G19" s="9">
        <v>47200000</v>
      </c>
      <c r="H19" t="s">
        <v>75</v>
      </c>
      <c r="I19" s="10">
        <v>32</v>
      </c>
      <c r="J19" s="10">
        <v>0</v>
      </c>
    </row>
    <row r="20" spans="1:10" x14ac:dyDescent="0.3">
      <c r="B20" s="7"/>
      <c r="D20">
        <v>280</v>
      </c>
      <c r="E20" t="s">
        <v>47</v>
      </c>
      <c r="F20" s="8" t="s">
        <v>304</v>
      </c>
      <c r="G20" s="9">
        <v>62840000</v>
      </c>
      <c r="H20" t="s">
        <v>116</v>
      </c>
      <c r="I20" s="10">
        <v>152.38999999999999</v>
      </c>
      <c r="J20" s="10">
        <v>0</v>
      </c>
    </row>
    <row r="21" spans="1:10" x14ac:dyDescent="0.3">
      <c r="A21">
        <v>108</v>
      </c>
      <c r="B21" s="7">
        <v>45273</v>
      </c>
      <c r="C21">
        <v>99</v>
      </c>
      <c r="D21">
        <v>281</v>
      </c>
      <c r="E21" t="s">
        <v>47</v>
      </c>
      <c r="F21" s="8" t="s">
        <v>305</v>
      </c>
      <c r="G21" s="9">
        <v>57200000</v>
      </c>
      <c r="H21" t="s">
        <v>67</v>
      </c>
      <c r="I21" s="10">
        <v>0</v>
      </c>
      <c r="J21" s="10">
        <v>184.39</v>
      </c>
    </row>
    <row r="22" spans="1:10" x14ac:dyDescent="0.3">
      <c r="B22" s="7"/>
      <c r="D22">
        <v>282</v>
      </c>
      <c r="E22" t="s">
        <v>47</v>
      </c>
      <c r="F22" s="8" t="s">
        <v>305</v>
      </c>
      <c r="G22" s="9">
        <v>41000019</v>
      </c>
      <c r="H22" t="s">
        <v>48</v>
      </c>
      <c r="I22" s="10">
        <v>184.39</v>
      </c>
      <c r="J22" s="10">
        <v>0</v>
      </c>
    </row>
    <row r="23" spans="1:10" x14ac:dyDescent="0.3">
      <c r="A23">
        <v>83</v>
      </c>
      <c r="B23" s="7">
        <v>45280</v>
      </c>
      <c r="C23">
        <v>100</v>
      </c>
      <c r="D23">
        <v>283</v>
      </c>
      <c r="E23" t="s">
        <v>126</v>
      </c>
      <c r="F23" s="8" t="s">
        <v>306</v>
      </c>
      <c r="G23" s="9">
        <v>43000019</v>
      </c>
      <c r="H23" t="s">
        <v>228</v>
      </c>
      <c r="I23" s="10">
        <v>2420</v>
      </c>
      <c r="J23" s="10">
        <v>0</v>
      </c>
    </row>
    <row r="24" spans="1:10" x14ac:dyDescent="0.3">
      <c r="B24" s="7"/>
      <c r="D24">
        <v>284</v>
      </c>
      <c r="E24" t="s">
        <v>229</v>
      </c>
      <c r="F24" s="8" t="s">
        <v>306</v>
      </c>
      <c r="G24" s="9">
        <v>47700000</v>
      </c>
      <c r="H24" t="s">
        <v>130</v>
      </c>
      <c r="I24" s="10">
        <v>0</v>
      </c>
      <c r="J24" s="10">
        <v>420</v>
      </c>
    </row>
    <row r="25" spans="1:10" x14ac:dyDescent="0.3">
      <c r="B25" s="7"/>
      <c r="D25">
        <v>285</v>
      </c>
      <c r="E25" t="s">
        <v>230</v>
      </c>
      <c r="F25" s="8" t="s">
        <v>306</v>
      </c>
      <c r="G25" s="9">
        <v>70500000</v>
      </c>
      <c r="H25" t="s">
        <v>131</v>
      </c>
      <c r="I25" s="10">
        <v>0</v>
      </c>
      <c r="J25" s="10">
        <v>2000</v>
      </c>
    </row>
    <row r="26" spans="1:10" x14ac:dyDescent="0.3">
      <c r="A26">
        <v>68</v>
      </c>
      <c r="B26" s="7">
        <v>45281</v>
      </c>
      <c r="C26">
        <v>101</v>
      </c>
      <c r="D26">
        <v>286</v>
      </c>
      <c r="E26" t="s">
        <v>307</v>
      </c>
      <c r="F26" s="8" t="s">
        <v>308</v>
      </c>
      <c r="G26" s="9">
        <v>41000005</v>
      </c>
      <c r="H26" t="s">
        <v>34</v>
      </c>
      <c r="I26" s="10">
        <v>0</v>
      </c>
      <c r="J26" s="10">
        <v>157.30000000000001</v>
      </c>
    </row>
    <row r="27" spans="1:10" x14ac:dyDescent="0.3">
      <c r="B27" s="7"/>
      <c r="D27">
        <v>287</v>
      </c>
      <c r="E27" t="s">
        <v>82</v>
      </c>
      <c r="F27" s="8" t="s">
        <v>308</v>
      </c>
      <c r="G27" s="9">
        <v>47200000</v>
      </c>
      <c r="H27" t="s">
        <v>75</v>
      </c>
      <c r="I27" s="10">
        <v>27.3</v>
      </c>
      <c r="J27" s="10">
        <v>0</v>
      </c>
    </row>
    <row r="28" spans="1:10" x14ac:dyDescent="0.3">
      <c r="B28" s="7"/>
      <c r="D28">
        <v>288</v>
      </c>
      <c r="E28" t="s">
        <v>33</v>
      </c>
      <c r="F28" s="8" t="s">
        <v>308</v>
      </c>
      <c r="G28" s="9">
        <v>62900025</v>
      </c>
      <c r="H28" t="s">
        <v>144</v>
      </c>
      <c r="I28" s="10">
        <v>130</v>
      </c>
      <c r="J28" s="10">
        <v>0</v>
      </c>
    </row>
    <row r="29" spans="1:10" x14ac:dyDescent="0.3">
      <c r="A29">
        <v>109</v>
      </c>
      <c r="B29" s="7">
        <v>45283</v>
      </c>
      <c r="C29">
        <v>102</v>
      </c>
      <c r="D29">
        <v>289</v>
      </c>
      <c r="E29" t="s">
        <v>187</v>
      </c>
      <c r="F29" s="8" t="s">
        <v>309</v>
      </c>
      <c r="G29" s="9">
        <v>57200000</v>
      </c>
      <c r="H29" t="s">
        <v>67</v>
      </c>
      <c r="I29" s="10">
        <v>0</v>
      </c>
      <c r="J29" s="10">
        <v>25</v>
      </c>
    </row>
    <row r="30" spans="1:10" x14ac:dyDescent="0.3">
      <c r="B30" s="7"/>
      <c r="D30">
        <v>290</v>
      </c>
      <c r="E30" t="s">
        <v>187</v>
      </c>
      <c r="F30" s="8" t="s">
        <v>309</v>
      </c>
      <c r="G30" s="9">
        <v>62600000</v>
      </c>
      <c r="H30" t="s">
        <v>189</v>
      </c>
      <c r="I30" s="10">
        <v>25</v>
      </c>
      <c r="J30" s="10">
        <v>0</v>
      </c>
    </row>
    <row r="31" spans="1:10" x14ac:dyDescent="0.3">
      <c r="A31">
        <v>110</v>
      </c>
      <c r="B31" s="7">
        <v>45288</v>
      </c>
      <c r="C31">
        <v>103</v>
      </c>
      <c r="D31">
        <v>291</v>
      </c>
      <c r="E31" t="s">
        <v>33</v>
      </c>
      <c r="F31" s="8" t="s">
        <v>310</v>
      </c>
      <c r="G31" s="9">
        <v>57200000</v>
      </c>
      <c r="H31" t="s">
        <v>67</v>
      </c>
      <c r="I31" s="10">
        <v>0</v>
      </c>
      <c r="J31" s="10">
        <v>157.30000000000001</v>
      </c>
    </row>
    <row r="32" spans="1:10" x14ac:dyDescent="0.3">
      <c r="B32" s="7"/>
      <c r="D32">
        <v>292</v>
      </c>
      <c r="E32" t="s">
        <v>33</v>
      </c>
      <c r="F32" s="8" t="s">
        <v>310</v>
      </c>
      <c r="G32" s="9">
        <v>41000005</v>
      </c>
      <c r="H32" t="s">
        <v>34</v>
      </c>
      <c r="I32" s="10">
        <v>157.30000000000001</v>
      </c>
      <c r="J32" s="10">
        <v>0</v>
      </c>
    </row>
    <row r="33" spans="1:10" x14ac:dyDescent="0.3">
      <c r="A33">
        <v>17</v>
      </c>
      <c r="B33" s="7">
        <v>45290</v>
      </c>
      <c r="C33">
        <v>104</v>
      </c>
      <c r="D33">
        <v>293</v>
      </c>
      <c r="E33" t="s">
        <v>311</v>
      </c>
      <c r="F33" s="8" t="s">
        <v>85</v>
      </c>
      <c r="G33" s="9">
        <v>68100000</v>
      </c>
      <c r="H33" t="s">
        <v>312</v>
      </c>
      <c r="I33" s="10">
        <v>85.66</v>
      </c>
      <c r="J33" s="10">
        <v>0</v>
      </c>
    </row>
    <row r="34" spans="1:10" x14ac:dyDescent="0.3">
      <c r="B34" s="7"/>
      <c r="D34">
        <v>294</v>
      </c>
      <c r="E34" t="s">
        <v>311</v>
      </c>
      <c r="F34" s="8" t="s">
        <v>85</v>
      </c>
      <c r="G34" s="9">
        <v>28170000</v>
      </c>
      <c r="H34" t="s">
        <v>27</v>
      </c>
      <c r="I34" s="10">
        <v>0</v>
      </c>
      <c r="J34" s="10">
        <v>85.66</v>
      </c>
    </row>
    <row r="35" spans="1:10" x14ac:dyDescent="0.3">
      <c r="A35">
        <v>18</v>
      </c>
      <c r="B35" s="7">
        <v>45290</v>
      </c>
      <c r="C35">
        <v>105</v>
      </c>
      <c r="D35">
        <v>295</v>
      </c>
      <c r="E35" t="s">
        <v>313</v>
      </c>
      <c r="F35" s="8" t="s">
        <v>314</v>
      </c>
      <c r="G35" s="9">
        <v>68100004</v>
      </c>
      <c r="H35" t="s">
        <v>315</v>
      </c>
      <c r="I35" s="10">
        <v>370.6</v>
      </c>
      <c r="J35" s="10">
        <v>0</v>
      </c>
    </row>
    <row r="36" spans="1:10" x14ac:dyDescent="0.3">
      <c r="B36" s="7"/>
      <c r="D36">
        <v>296</v>
      </c>
      <c r="E36" t="s">
        <v>313</v>
      </c>
      <c r="F36" s="8" t="s">
        <v>314</v>
      </c>
      <c r="G36" s="9">
        <v>28170004</v>
      </c>
      <c r="H36" t="s">
        <v>29</v>
      </c>
      <c r="I36" s="10">
        <v>0</v>
      </c>
      <c r="J36" s="10">
        <v>370.6</v>
      </c>
    </row>
    <row r="37" spans="1:10" x14ac:dyDescent="0.3">
      <c r="A37">
        <v>19</v>
      </c>
      <c r="B37" s="7">
        <v>45290</v>
      </c>
      <c r="C37">
        <v>106</v>
      </c>
      <c r="D37">
        <v>297</v>
      </c>
      <c r="E37" t="s">
        <v>316</v>
      </c>
      <c r="F37" s="8" t="s">
        <v>317</v>
      </c>
      <c r="G37" s="9">
        <v>68160000</v>
      </c>
      <c r="H37" t="s">
        <v>318</v>
      </c>
      <c r="I37" s="10">
        <v>24.55</v>
      </c>
      <c r="J37" s="10">
        <v>0</v>
      </c>
    </row>
    <row r="38" spans="1:10" x14ac:dyDescent="0.3">
      <c r="B38" s="7"/>
      <c r="D38">
        <v>298</v>
      </c>
      <c r="E38" t="s">
        <v>316</v>
      </c>
      <c r="F38" s="8" t="s">
        <v>317</v>
      </c>
      <c r="G38" s="9">
        <v>28160000</v>
      </c>
      <c r="H38" t="s">
        <v>25</v>
      </c>
      <c r="I38" s="10">
        <v>0</v>
      </c>
      <c r="J38" s="10">
        <v>24.55</v>
      </c>
    </row>
    <row r="39" spans="1:10" x14ac:dyDescent="0.3">
      <c r="A39">
        <v>112</v>
      </c>
      <c r="B39" s="7">
        <v>45291</v>
      </c>
      <c r="C39">
        <v>107</v>
      </c>
      <c r="D39">
        <v>299</v>
      </c>
      <c r="E39" t="s">
        <v>71</v>
      </c>
      <c r="F39" s="8" t="s">
        <v>319</v>
      </c>
      <c r="G39" s="9">
        <v>41000014</v>
      </c>
      <c r="H39" t="s">
        <v>41</v>
      </c>
      <c r="I39" s="10">
        <v>0</v>
      </c>
      <c r="J39" s="10">
        <v>10507.79</v>
      </c>
    </row>
    <row r="40" spans="1:10" x14ac:dyDescent="0.3">
      <c r="B40" s="7"/>
      <c r="D40">
        <v>300</v>
      </c>
      <c r="E40" t="s">
        <v>320</v>
      </c>
      <c r="F40" s="8" t="s">
        <v>319</v>
      </c>
      <c r="G40" s="9">
        <v>47200000</v>
      </c>
      <c r="H40" t="s">
        <v>75</v>
      </c>
      <c r="I40" s="10">
        <v>2081.73</v>
      </c>
      <c r="J40" s="10">
        <v>0</v>
      </c>
    </row>
    <row r="41" spans="1:10" x14ac:dyDescent="0.3">
      <c r="B41" s="7"/>
      <c r="D41">
        <v>301</v>
      </c>
      <c r="E41" t="s">
        <v>321</v>
      </c>
      <c r="F41" s="8" t="s">
        <v>319</v>
      </c>
      <c r="G41" s="9">
        <v>47510000</v>
      </c>
      <c r="H41" t="s">
        <v>322</v>
      </c>
      <c r="I41" s="10">
        <v>0</v>
      </c>
      <c r="J41" s="10">
        <v>1486.95</v>
      </c>
    </row>
    <row r="42" spans="1:10" x14ac:dyDescent="0.3">
      <c r="B42" s="7"/>
      <c r="D42">
        <v>302</v>
      </c>
      <c r="E42" t="s">
        <v>41</v>
      </c>
      <c r="F42" s="8" t="s">
        <v>319</v>
      </c>
      <c r="G42" s="9">
        <v>62300000</v>
      </c>
      <c r="H42" t="s">
        <v>83</v>
      </c>
      <c r="I42" s="10">
        <v>9913.01</v>
      </c>
      <c r="J42" s="10">
        <v>0</v>
      </c>
    </row>
    <row r="43" spans="1:10" x14ac:dyDescent="0.3">
      <c r="A43">
        <v>113</v>
      </c>
      <c r="B43" s="7">
        <v>45291</v>
      </c>
      <c r="C43">
        <v>108</v>
      </c>
      <c r="D43">
        <v>303</v>
      </c>
      <c r="E43" t="s">
        <v>323</v>
      </c>
      <c r="F43" s="8" t="s">
        <v>15</v>
      </c>
      <c r="G43" s="9">
        <v>47700000</v>
      </c>
      <c r="H43" t="s">
        <v>130</v>
      </c>
      <c r="I43" s="10">
        <v>2182.7399999999998</v>
      </c>
      <c r="J43" s="10">
        <v>0</v>
      </c>
    </row>
    <row r="44" spans="1:10" x14ac:dyDescent="0.3">
      <c r="B44" s="7"/>
      <c r="D44">
        <v>304</v>
      </c>
      <c r="E44" t="s">
        <v>323</v>
      </c>
      <c r="F44" s="8" t="s">
        <v>15</v>
      </c>
      <c r="G44" s="9">
        <v>47200000</v>
      </c>
      <c r="H44" t="s">
        <v>75</v>
      </c>
      <c r="I44" s="10">
        <v>0</v>
      </c>
      <c r="J44" s="10">
        <v>2264.41</v>
      </c>
    </row>
    <row r="45" spans="1:10" x14ac:dyDescent="0.3">
      <c r="B45" s="7"/>
      <c r="D45">
        <v>305</v>
      </c>
      <c r="E45" t="s">
        <v>323</v>
      </c>
      <c r="F45" s="8" t="s">
        <v>15</v>
      </c>
      <c r="G45" s="9">
        <v>47000000</v>
      </c>
      <c r="H45" t="s">
        <v>59</v>
      </c>
      <c r="I45" s="10">
        <v>81.67</v>
      </c>
      <c r="J45" s="10">
        <v>0</v>
      </c>
    </row>
    <row r="46" spans="1:10" x14ac:dyDescent="0.3">
      <c r="B46" s="7">
        <v>45291</v>
      </c>
      <c r="C46">
        <v>109</v>
      </c>
      <c r="D46">
        <v>306</v>
      </c>
      <c r="E46" t="s">
        <v>324</v>
      </c>
      <c r="F46" s="8" t="s">
        <v>85</v>
      </c>
      <c r="G46" s="9">
        <v>60000000</v>
      </c>
      <c r="H46" t="s">
        <v>136</v>
      </c>
      <c r="I46" s="10">
        <v>0</v>
      </c>
      <c r="J46" s="10">
        <v>3418.53</v>
      </c>
    </row>
    <row r="47" spans="1:10" x14ac:dyDescent="0.3">
      <c r="B47" s="7"/>
      <c r="D47">
        <v>307</v>
      </c>
      <c r="E47" t="s">
        <v>324</v>
      </c>
      <c r="F47" s="8" t="s">
        <v>85</v>
      </c>
      <c r="G47" s="9">
        <v>62300000</v>
      </c>
      <c r="H47" t="s">
        <v>83</v>
      </c>
      <c r="I47" s="10">
        <v>0</v>
      </c>
      <c r="J47" s="10">
        <v>10303.01</v>
      </c>
    </row>
    <row r="48" spans="1:10" x14ac:dyDescent="0.3">
      <c r="B48" s="7"/>
      <c r="D48">
        <v>308</v>
      </c>
      <c r="E48" t="s">
        <v>324</v>
      </c>
      <c r="F48" s="8" t="s">
        <v>85</v>
      </c>
      <c r="G48" s="9">
        <v>62400000</v>
      </c>
      <c r="H48" t="s">
        <v>283</v>
      </c>
      <c r="I48" s="10">
        <v>0</v>
      </c>
      <c r="J48" s="10">
        <v>127.61</v>
      </c>
    </row>
    <row r="49" spans="2:10" x14ac:dyDescent="0.3">
      <c r="B49" s="7"/>
      <c r="D49">
        <v>309</v>
      </c>
      <c r="E49" t="s">
        <v>324</v>
      </c>
      <c r="F49" s="8" t="s">
        <v>85</v>
      </c>
      <c r="G49" s="9">
        <v>62600000</v>
      </c>
      <c r="H49" t="s">
        <v>189</v>
      </c>
      <c r="I49" s="10">
        <v>0</v>
      </c>
      <c r="J49" s="10">
        <v>50</v>
      </c>
    </row>
    <row r="50" spans="2:10" x14ac:dyDescent="0.3">
      <c r="B50" s="7"/>
      <c r="D50">
        <v>310</v>
      </c>
      <c r="E50" t="s">
        <v>324</v>
      </c>
      <c r="F50" s="8" t="s">
        <v>85</v>
      </c>
      <c r="G50" s="9">
        <v>62840000</v>
      </c>
      <c r="H50" t="s">
        <v>116</v>
      </c>
      <c r="I50" s="10">
        <v>0</v>
      </c>
      <c r="J50" s="10">
        <v>1181.95</v>
      </c>
    </row>
    <row r="51" spans="2:10" x14ac:dyDescent="0.3">
      <c r="B51" s="7"/>
      <c r="D51">
        <v>311</v>
      </c>
      <c r="E51" t="s">
        <v>324</v>
      </c>
      <c r="F51" s="8" t="s">
        <v>85</v>
      </c>
      <c r="G51" s="9">
        <v>62900000</v>
      </c>
      <c r="H51" t="s">
        <v>70</v>
      </c>
      <c r="I51" s="10">
        <v>0</v>
      </c>
      <c r="J51" s="10">
        <v>618.23</v>
      </c>
    </row>
    <row r="52" spans="2:10" x14ac:dyDescent="0.3">
      <c r="B52" s="7"/>
      <c r="D52">
        <v>312</v>
      </c>
      <c r="E52" t="s">
        <v>324</v>
      </c>
      <c r="F52" s="8" t="s">
        <v>85</v>
      </c>
      <c r="G52" s="9">
        <v>62900002</v>
      </c>
      <c r="H52" t="s">
        <v>135</v>
      </c>
      <c r="I52" s="10">
        <v>0</v>
      </c>
      <c r="J52" s="10">
        <v>109.08</v>
      </c>
    </row>
    <row r="53" spans="2:10" x14ac:dyDescent="0.3">
      <c r="B53" s="7"/>
      <c r="D53">
        <v>313</v>
      </c>
      <c r="E53" t="s">
        <v>324</v>
      </c>
      <c r="F53" s="8" t="s">
        <v>85</v>
      </c>
      <c r="G53" s="9">
        <v>62900025</v>
      </c>
      <c r="H53" t="s">
        <v>144</v>
      </c>
      <c r="I53" s="10">
        <v>0</v>
      </c>
      <c r="J53" s="10">
        <v>1170</v>
      </c>
    </row>
    <row r="54" spans="2:10" x14ac:dyDescent="0.3">
      <c r="B54" s="7"/>
      <c r="D54">
        <v>314</v>
      </c>
      <c r="E54" t="s">
        <v>324</v>
      </c>
      <c r="F54" s="8" t="s">
        <v>85</v>
      </c>
      <c r="G54" s="9">
        <v>68100000</v>
      </c>
      <c r="H54" t="s">
        <v>312</v>
      </c>
      <c r="I54" s="10">
        <v>0</v>
      </c>
      <c r="J54" s="10">
        <v>85.66</v>
      </c>
    </row>
    <row r="55" spans="2:10" x14ac:dyDescent="0.3">
      <c r="B55" s="7"/>
      <c r="D55">
        <v>315</v>
      </c>
      <c r="E55" t="s">
        <v>324</v>
      </c>
      <c r="F55" s="8" t="s">
        <v>85</v>
      </c>
      <c r="G55" s="9">
        <v>68100004</v>
      </c>
      <c r="H55" t="s">
        <v>315</v>
      </c>
      <c r="I55" s="10">
        <v>0</v>
      </c>
      <c r="J55" s="10">
        <v>370.6</v>
      </c>
    </row>
    <row r="56" spans="2:10" x14ac:dyDescent="0.3">
      <c r="B56" s="7"/>
      <c r="D56">
        <v>316</v>
      </c>
      <c r="E56" t="s">
        <v>324</v>
      </c>
      <c r="F56" s="8" t="s">
        <v>85</v>
      </c>
      <c r="G56" s="9">
        <v>68160000</v>
      </c>
      <c r="H56" t="s">
        <v>318</v>
      </c>
      <c r="I56" s="10">
        <v>0</v>
      </c>
      <c r="J56" s="10">
        <v>24.55</v>
      </c>
    </row>
    <row r="57" spans="2:10" x14ac:dyDescent="0.3">
      <c r="B57" s="7"/>
      <c r="D57">
        <v>317</v>
      </c>
      <c r="E57" t="s">
        <v>324</v>
      </c>
      <c r="F57" s="8" t="s">
        <v>85</v>
      </c>
      <c r="G57" s="9">
        <v>70500000</v>
      </c>
      <c r="H57" t="s">
        <v>131</v>
      </c>
      <c r="I57" s="10">
        <v>23539.200000000001</v>
      </c>
      <c r="J57" s="10">
        <v>0</v>
      </c>
    </row>
    <row r="58" spans="2:10" x14ac:dyDescent="0.3">
      <c r="B58" s="7"/>
      <c r="D58">
        <v>318</v>
      </c>
      <c r="E58" t="s">
        <v>325</v>
      </c>
      <c r="F58" s="8" t="s">
        <v>85</v>
      </c>
      <c r="G58" s="9">
        <v>12902300</v>
      </c>
      <c r="H58" t="s">
        <v>326</v>
      </c>
      <c r="I58" s="10">
        <v>0</v>
      </c>
      <c r="J58" s="10">
        <v>6079.98</v>
      </c>
    </row>
    <row r="59" spans="2:10" x14ac:dyDescent="0.3">
      <c r="B59" s="7">
        <v>45291</v>
      </c>
      <c r="C59">
        <v>110</v>
      </c>
      <c r="D59">
        <v>319</v>
      </c>
      <c r="E59" t="s">
        <v>11</v>
      </c>
      <c r="F59" s="8" t="s">
        <v>327</v>
      </c>
      <c r="G59" s="9">
        <v>10000000</v>
      </c>
      <c r="H59" t="s">
        <v>11</v>
      </c>
      <c r="I59" s="10">
        <v>3000</v>
      </c>
      <c r="J59" s="10">
        <v>0</v>
      </c>
    </row>
    <row r="60" spans="2:10" x14ac:dyDescent="0.3">
      <c r="B60" s="7"/>
      <c r="D60">
        <v>320</v>
      </c>
      <c r="E60" t="s">
        <v>14</v>
      </c>
      <c r="F60" s="8" t="s">
        <v>327</v>
      </c>
      <c r="G60" s="9">
        <v>11200000</v>
      </c>
      <c r="H60" t="s">
        <v>14</v>
      </c>
      <c r="I60" s="10">
        <v>600</v>
      </c>
      <c r="J60" s="10">
        <v>0</v>
      </c>
    </row>
    <row r="61" spans="2:10" x14ac:dyDescent="0.3">
      <c r="B61" s="7"/>
      <c r="D61">
        <v>321</v>
      </c>
      <c r="E61" t="s">
        <v>16</v>
      </c>
      <c r="F61" s="8" t="s">
        <v>327</v>
      </c>
      <c r="G61" s="9">
        <v>11300000</v>
      </c>
      <c r="H61" t="s">
        <v>16</v>
      </c>
      <c r="I61" s="10">
        <v>11746.4</v>
      </c>
      <c r="J61" s="10">
        <v>0</v>
      </c>
    </row>
    <row r="62" spans="2:10" x14ac:dyDescent="0.3">
      <c r="B62" s="7"/>
      <c r="D62">
        <v>322</v>
      </c>
      <c r="E62" t="s">
        <v>17</v>
      </c>
      <c r="F62" s="8" t="s">
        <v>327</v>
      </c>
      <c r="G62" s="9">
        <v>12000000</v>
      </c>
      <c r="H62" t="s">
        <v>17</v>
      </c>
      <c r="I62" s="10">
        <v>69.61</v>
      </c>
      <c r="J62" s="10">
        <v>0</v>
      </c>
    </row>
    <row r="63" spans="2:10" x14ac:dyDescent="0.3">
      <c r="B63" s="7"/>
      <c r="D63">
        <v>323</v>
      </c>
      <c r="E63" t="s">
        <v>18</v>
      </c>
      <c r="F63" s="8" t="s">
        <v>327</v>
      </c>
      <c r="G63" s="9">
        <v>12002100</v>
      </c>
      <c r="H63" t="s">
        <v>18</v>
      </c>
      <c r="I63" s="10">
        <v>22.78</v>
      </c>
      <c r="J63" s="10">
        <v>0</v>
      </c>
    </row>
    <row r="64" spans="2:10" x14ac:dyDescent="0.3">
      <c r="B64" s="7"/>
      <c r="D64">
        <v>324</v>
      </c>
      <c r="E64" t="s">
        <v>19</v>
      </c>
      <c r="F64" s="8" t="s">
        <v>327</v>
      </c>
      <c r="G64" s="9">
        <v>12002200</v>
      </c>
      <c r="H64" t="s">
        <v>19</v>
      </c>
      <c r="I64" s="10">
        <v>1604.99</v>
      </c>
      <c r="J64" s="10">
        <v>0</v>
      </c>
    </row>
    <row r="65" spans="2:10" x14ac:dyDescent="0.3">
      <c r="B65" s="7"/>
      <c r="D65">
        <v>325</v>
      </c>
      <c r="E65" t="s">
        <v>20</v>
      </c>
      <c r="F65" s="8" t="s">
        <v>327</v>
      </c>
      <c r="G65" s="9">
        <v>12102000</v>
      </c>
      <c r="H65" t="s">
        <v>20</v>
      </c>
      <c r="I65" s="10">
        <v>0</v>
      </c>
      <c r="J65" s="10">
        <v>2417.4699999999998</v>
      </c>
    </row>
    <row r="66" spans="2:10" x14ac:dyDescent="0.3">
      <c r="B66" s="7"/>
      <c r="D66">
        <v>326</v>
      </c>
      <c r="E66" t="s">
        <v>328</v>
      </c>
      <c r="F66" s="8" t="s">
        <v>327</v>
      </c>
      <c r="G66" s="9">
        <v>12902300</v>
      </c>
      <c r="H66" t="s">
        <v>328</v>
      </c>
      <c r="I66" s="10">
        <v>6079.98</v>
      </c>
      <c r="J66" s="10">
        <v>0</v>
      </c>
    </row>
    <row r="67" spans="2:10" x14ac:dyDescent="0.3">
      <c r="B67" s="7"/>
      <c r="D67">
        <v>327</v>
      </c>
      <c r="E67" t="s">
        <v>21</v>
      </c>
      <c r="F67" s="8" t="s">
        <v>327</v>
      </c>
      <c r="G67" s="9">
        <v>21600000</v>
      </c>
      <c r="H67" t="s">
        <v>21</v>
      </c>
      <c r="I67" s="10">
        <v>0</v>
      </c>
      <c r="J67" s="10">
        <v>245.45</v>
      </c>
    </row>
    <row r="68" spans="2:10" x14ac:dyDescent="0.3">
      <c r="B68" s="7"/>
      <c r="D68">
        <v>328</v>
      </c>
      <c r="E68" t="s">
        <v>22</v>
      </c>
      <c r="F68" s="8" t="s">
        <v>327</v>
      </c>
      <c r="G68" s="9">
        <v>21700000</v>
      </c>
      <c r="H68" t="s">
        <v>23</v>
      </c>
      <c r="I68" s="10">
        <v>0</v>
      </c>
      <c r="J68" s="10">
        <v>1994.18</v>
      </c>
    </row>
    <row r="69" spans="2:10" x14ac:dyDescent="0.3">
      <c r="B69" s="7"/>
      <c r="D69">
        <v>329</v>
      </c>
      <c r="E69" t="s">
        <v>24</v>
      </c>
      <c r="F69" s="8" t="s">
        <v>327</v>
      </c>
      <c r="G69" s="9">
        <v>28160000</v>
      </c>
      <c r="H69" t="s">
        <v>25</v>
      </c>
      <c r="I69" s="10">
        <v>49.1</v>
      </c>
      <c r="J69" s="10">
        <v>0</v>
      </c>
    </row>
    <row r="70" spans="2:10" x14ac:dyDescent="0.3">
      <c r="B70" s="7"/>
      <c r="D70">
        <v>330</v>
      </c>
      <c r="E70" t="s">
        <v>26</v>
      </c>
      <c r="F70" s="8" t="s">
        <v>327</v>
      </c>
      <c r="G70" s="9">
        <v>28170000</v>
      </c>
      <c r="H70" t="s">
        <v>27</v>
      </c>
      <c r="I70" s="10">
        <v>494.55</v>
      </c>
      <c r="J70" s="10">
        <v>0</v>
      </c>
    </row>
    <row r="71" spans="2:10" x14ac:dyDescent="0.3">
      <c r="B71" s="7"/>
      <c r="D71">
        <v>331</v>
      </c>
      <c r="E71" t="s">
        <v>28</v>
      </c>
      <c r="F71" s="8" t="s">
        <v>327</v>
      </c>
      <c r="G71" s="9">
        <v>28170004</v>
      </c>
      <c r="H71" t="s">
        <v>29</v>
      </c>
      <c r="I71" s="10">
        <v>464.01</v>
      </c>
      <c r="J71" s="10">
        <v>0</v>
      </c>
    </row>
    <row r="72" spans="2:10" x14ac:dyDescent="0.3">
      <c r="B72" s="7"/>
      <c r="D72">
        <v>332</v>
      </c>
      <c r="E72" t="s">
        <v>30</v>
      </c>
      <c r="F72" s="8" t="s">
        <v>327</v>
      </c>
      <c r="G72" s="9">
        <v>40000014</v>
      </c>
      <c r="H72" t="s">
        <v>30</v>
      </c>
      <c r="I72" s="10">
        <v>249.96</v>
      </c>
      <c r="J72" s="10">
        <v>0</v>
      </c>
    </row>
    <row r="73" spans="2:10" x14ac:dyDescent="0.3">
      <c r="B73" s="7"/>
      <c r="D73">
        <v>333</v>
      </c>
      <c r="E73" t="s">
        <v>156</v>
      </c>
      <c r="F73" s="8" t="s">
        <v>327</v>
      </c>
      <c r="G73" s="9">
        <v>41000000</v>
      </c>
      <c r="H73" t="s">
        <v>154</v>
      </c>
      <c r="I73" s="10">
        <v>128.44999999999999</v>
      </c>
      <c r="J73" s="10">
        <v>0</v>
      </c>
    </row>
    <row r="74" spans="2:10" x14ac:dyDescent="0.3">
      <c r="B74" s="7"/>
      <c r="D74">
        <v>334</v>
      </c>
      <c r="E74" t="s">
        <v>31</v>
      </c>
      <c r="F74" s="8" t="s">
        <v>327</v>
      </c>
      <c r="G74" s="9">
        <v>41000003</v>
      </c>
      <c r="H74" t="s">
        <v>32</v>
      </c>
      <c r="I74" s="10">
        <v>0</v>
      </c>
      <c r="J74" s="10">
        <v>141.06</v>
      </c>
    </row>
    <row r="75" spans="2:10" x14ac:dyDescent="0.3">
      <c r="B75" s="7"/>
      <c r="D75">
        <v>335</v>
      </c>
      <c r="E75" t="s">
        <v>33</v>
      </c>
      <c r="F75" s="8" t="s">
        <v>327</v>
      </c>
      <c r="G75" s="9">
        <v>41000005</v>
      </c>
      <c r="H75" t="s">
        <v>34</v>
      </c>
      <c r="I75" s="10">
        <v>0</v>
      </c>
      <c r="J75" s="10">
        <v>475.4</v>
      </c>
    </row>
    <row r="76" spans="2:10" x14ac:dyDescent="0.3">
      <c r="B76" s="7"/>
      <c r="D76">
        <v>336</v>
      </c>
      <c r="E76" t="s">
        <v>35</v>
      </c>
      <c r="F76" s="8" t="s">
        <v>327</v>
      </c>
      <c r="G76" s="9">
        <v>41000007</v>
      </c>
      <c r="H76" t="s">
        <v>36</v>
      </c>
      <c r="I76" s="10">
        <v>267.52999999999997</v>
      </c>
      <c r="J76" s="10">
        <v>0</v>
      </c>
    </row>
    <row r="77" spans="2:10" x14ac:dyDescent="0.3">
      <c r="B77" s="7"/>
      <c r="D77">
        <v>337</v>
      </c>
      <c r="E77" t="s">
        <v>37</v>
      </c>
      <c r="F77" s="8" t="s">
        <v>327</v>
      </c>
      <c r="G77" s="9">
        <v>41000008</v>
      </c>
      <c r="H77" t="s">
        <v>37</v>
      </c>
      <c r="I77" s="10">
        <v>0</v>
      </c>
      <c r="J77" s="10">
        <v>16.62</v>
      </c>
    </row>
    <row r="78" spans="2:10" x14ac:dyDescent="0.3">
      <c r="B78" s="7"/>
      <c r="D78">
        <v>338</v>
      </c>
      <c r="E78" t="s">
        <v>38</v>
      </c>
      <c r="F78" s="8" t="s">
        <v>327</v>
      </c>
      <c r="G78" s="9">
        <v>41000009</v>
      </c>
      <c r="H78" t="s">
        <v>38</v>
      </c>
      <c r="I78" s="10">
        <v>150.87</v>
      </c>
      <c r="J78" s="10">
        <v>0</v>
      </c>
    </row>
    <row r="79" spans="2:10" x14ac:dyDescent="0.3">
      <c r="B79" s="7"/>
      <c r="D79">
        <v>339</v>
      </c>
      <c r="E79" t="s">
        <v>39</v>
      </c>
      <c r="F79" s="8" t="s">
        <v>327</v>
      </c>
      <c r="G79" s="9">
        <v>41000012</v>
      </c>
      <c r="H79" t="s">
        <v>39</v>
      </c>
      <c r="I79" s="10">
        <v>732.29</v>
      </c>
      <c r="J79" s="10">
        <v>0</v>
      </c>
    </row>
    <row r="80" spans="2:10" x14ac:dyDescent="0.3">
      <c r="B80" s="7"/>
      <c r="D80">
        <v>340</v>
      </c>
      <c r="E80" t="s">
        <v>40</v>
      </c>
      <c r="F80" s="8" t="s">
        <v>327</v>
      </c>
      <c r="G80" s="9">
        <v>41000013</v>
      </c>
      <c r="H80" t="s">
        <v>40</v>
      </c>
      <c r="I80" s="10">
        <v>297</v>
      </c>
      <c r="J80" s="10">
        <v>0</v>
      </c>
    </row>
    <row r="81" spans="2:10" x14ac:dyDescent="0.3">
      <c r="B81" s="7"/>
      <c r="D81">
        <v>341</v>
      </c>
      <c r="E81" t="s">
        <v>41</v>
      </c>
      <c r="F81" s="8" t="s">
        <v>327</v>
      </c>
      <c r="G81" s="9">
        <v>41000014</v>
      </c>
      <c r="H81" t="s">
        <v>41</v>
      </c>
      <c r="I81" s="10">
        <v>19624.009999999998</v>
      </c>
      <c r="J81" s="10">
        <v>0</v>
      </c>
    </row>
    <row r="82" spans="2:10" x14ac:dyDescent="0.3">
      <c r="B82" s="7"/>
      <c r="D82">
        <v>342</v>
      </c>
      <c r="E82" t="s">
        <v>42</v>
      </c>
      <c r="F82" s="8" t="s">
        <v>327</v>
      </c>
      <c r="G82" s="9">
        <v>41000015</v>
      </c>
      <c r="H82" t="s">
        <v>43</v>
      </c>
      <c r="I82" s="10">
        <v>0</v>
      </c>
      <c r="J82" s="10">
        <v>29.04</v>
      </c>
    </row>
    <row r="83" spans="2:10" x14ac:dyDescent="0.3">
      <c r="B83" s="7"/>
      <c r="D83">
        <v>343</v>
      </c>
      <c r="E83" t="s">
        <v>44</v>
      </c>
      <c r="F83" s="8" t="s">
        <v>327</v>
      </c>
      <c r="G83" s="9">
        <v>41000016</v>
      </c>
      <c r="H83" t="s">
        <v>45</v>
      </c>
      <c r="I83" s="10">
        <v>249</v>
      </c>
      <c r="J83" s="10">
        <v>0</v>
      </c>
    </row>
    <row r="84" spans="2:10" x14ac:dyDescent="0.3">
      <c r="B84" s="7"/>
      <c r="D84">
        <v>344</v>
      </c>
      <c r="E84" t="s">
        <v>46</v>
      </c>
      <c r="F84" s="8" t="s">
        <v>327</v>
      </c>
      <c r="G84" s="9">
        <v>41000017</v>
      </c>
      <c r="H84" t="s">
        <v>46</v>
      </c>
      <c r="I84" s="10">
        <v>163.80000000000001</v>
      </c>
      <c r="J84" s="10">
        <v>0</v>
      </c>
    </row>
    <row r="85" spans="2:10" x14ac:dyDescent="0.3">
      <c r="B85" s="7"/>
      <c r="D85">
        <v>345</v>
      </c>
      <c r="E85" t="s">
        <v>329</v>
      </c>
      <c r="F85" s="8" t="s">
        <v>327</v>
      </c>
      <c r="G85" s="9">
        <v>41000018</v>
      </c>
      <c r="H85" t="s">
        <v>235</v>
      </c>
      <c r="I85" s="10">
        <v>0</v>
      </c>
      <c r="J85" s="10">
        <v>120</v>
      </c>
    </row>
    <row r="86" spans="2:10" x14ac:dyDescent="0.3">
      <c r="B86" s="7"/>
      <c r="D86">
        <v>346</v>
      </c>
      <c r="E86" t="s">
        <v>47</v>
      </c>
      <c r="F86" s="8" t="s">
        <v>327</v>
      </c>
      <c r="G86" s="9">
        <v>41000019</v>
      </c>
      <c r="H86" t="s">
        <v>48</v>
      </c>
      <c r="I86" s="10">
        <v>0</v>
      </c>
      <c r="J86" s="10">
        <v>599.08000000000004</v>
      </c>
    </row>
    <row r="87" spans="2:10" x14ac:dyDescent="0.3">
      <c r="B87" s="7"/>
      <c r="D87">
        <v>347</v>
      </c>
      <c r="E87" t="s">
        <v>49</v>
      </c>
      <c r="F87" s="8" t="s">
        <v>327</v>
      </c>
      <c r="G87" s="9">
        <v>41000020</v>
      </c>
      <c r="H87" t="s">
        <v>49</v>
      </c>
      <c r="I87" s="10">
        <v>301.92</v>
      </c>
      <c r="J87" s="10">
        <v>0</v>
      </c>
    </row>
    <row r="88" spans="2:10" x14ac:dyDescent="0.3">
      <c r="B88" s="7"/>
      <c r="D88">
        <v>348</v>
      </c>
      <c r="E88" t="s">
        <v>50</v>
      </c>
      <c r="F88" s="8" t="s">
        <v>327</v>
      </c>
      <c r="G88" s="9">
        <v>41000021</v>
      </c>
      <c r="H88" t="s">
        <v>50</v>
      </c>
      <c r="I88" s="10">
        <v>1746</v>
      </c>
      <c r="J88" s="10">
        <v>0</v>
      </c>
    </row>
    <row r="89" spans="2:10" x14ac:dyDescent="0.3">
      <c r="B89" s="7"/>
      <c r="D89">
        <v>349</v>
      </c>
      <c r="E89" t="s">
        <v>51</v>
      </c>
      <c r="F89" s="8" t="s">
        <v>327</v>
      </c>
      <c r="G89" s="9">
        <v>41000022</v>
      </c>
      <c r="H89" t="s">
        <v>51</v>
      </c>
      <c r="I89" s="10">
        <v>242.4</v>
      </c>
      <c r="J89" s="10">
        <v>0</v>
      </c>
    </row>
    <row r="90" spans="2:10" x14ac:dyDescent="0.3">
      <c r="B90" s="7"/>
      <c r="D90">
        <v>350</v>
      </c>
      <c r="E90" t="s">
        <v>104</v>
      </c>
      <c r="F90" s="8" t="s">
        <v>327</v>
      </c>
      <c r="G90" s="9">
        <v>41000023</v>
      </c>
      <c r="H90" t="s">
        <v>102</v>
      </c>
      <c r="I90" s="10">
        <v>165.26</v>
      </c>
      <c r="J90" s="10">
        <v>0</v>
      </c>
    </row>
    <row r="91" spans="2:10" x14ac:dyDescent="0.3">
      <c r="B91" s="7"/>
      <c r="D91">
        <v>351</v>
      </c>
      <c r="E91" t="s">
        <v>76</v>
      </c>
      <c r="F91" s="8" t="s">
        <v>327</v>
      </c>
      <c r="G91" s="9">
        <v>41000024</v>
      </c>
      <c r="H91" t="s">
        <v>73</v>
      </c>
      <c r="I91" s="10">
        <v>75</v>
      </c>
      <c r="J91" s="10">
        <v>0</v>
      </c>
    </row>
    <row r="92" spans="2:10" x14ac:dyDescent="0.3">
      <c r="B92" s="7"/>
      <c r="D92">
        <v>352</v>
      </c>
      <c r="E92" t="s">
        <v>214</v>
      </c>
      <c r="F92" s="8" t="s">
        <v>327</v>
      </c>
      <c r="G92" s="9">
        <v>41000025</v>
      </c>
      <c r="H92" t="s">
        <v>214</v>
      </c>
      <c r="I92" s="10">
        <v>1664</v>
      </c>
      <c r="J92" s="10">
        <v>0</v>
      </c>
    </row>
    <row r="93" spans="2:10" x14ac:dyDescent="0.3">
      <c r="B93" s="7"/>
      <c r="D93">
        <v>353</v>
      </c>
      <c r="E93" t="s">
        <v>242</v>
      </c>
      <c r="F93" s="8" t="s">
        <v>327</v>
      </c>
      <c r="G93" s="9">
        <v>41000026</v>
      </c>
      <c r="H93" t="s">
        <v>240</v>
      </c>
      <c r="I93" s="10">
        <v>1851.3</v>
      </c>
      <c r="J93" s="10">
        <v>0</v>
      </c>
    </row>
    <row r="94" spans="2:10" x14ac:dyDescent="0.3">
      <c r="B94" s="7"/>
      <c r="D94">
        <v>354</v>
      </c>
      <c r="E94" t="s">
        <v>282</v>
      </c>
      <c r="F94" s="8" t="s">
        <v>327</v>
      </c>
      <c r="G94" s="9">
        <v>41000027</v>
      </c>
      <c r="H94" t="s">
        <v>281</v>
      </c>
      <c r="I94" s="10">
        <v>73.42</v>
      </c>
      <c r="J94" s="10">
        <v>0</v>
      </c>
    </row>
    <row r="95" spans="2:10" x14ac:dyDescent="0.3">
      <c r="B95" s="7"/>
      <c r="D95">
        <v>355</v>
      </c>
      <c r="E95" t="s">
        <v>52</v>
      </c>
      <c r="F95" s="8" t="s">
        <v>327</v>
      </c>
      <c r="G95" s="9">
        <v>43000010</v>
      </c>
      <c r="H95" t="s">
        <v>53</v>
      </c>
      <c r="I95" s="10">
        <v>0</v>
      </c>
      <c r="J95" s="10">
        <v>781.5</v>
      </c>
    </row>
    <row r="96" spans="2:10" x14ac:dyDescent="0.3">
      <c r="B96" s="7"/>
      <c r="D96">
        <v>356</v>
      </c>
      <c r="E96" t="s">
        <v>54</v>
      </c>
      <c r="F96" s="8" t="s">
        <v>327</v>
      </c>
      <c r="G96" s="9">
        <v>43000011</v>
      </c>
      <c r="H96" t="s">
        <v>55</v>
      </c>
      <c r="I96" s="10">
        <v>0</v>
      </c>
      <c r="J96" s="10">
        <v>7260</v>
      </c>
    </row>
    <row r="97" spans="2:10" x14ac:dyDescent="0.3">
      <c r="B97" s="7"/>
      <c r="D97">
        <v>357</v>
      </c>
      <c r="E97" t="s">
        <v>56</v>
      </c>
      <c r="F97" s="8" t="s">
        <v>327</v>
      </c>
      <c r="G97" s="9">
        <v>43000013</v>
      </c>
      <c r="H97" t="s">
        <v>57</v>
      </c>
      <c r="I97" s="10">
        <v>0</v>
      </c>
      <c r="J97" s="10">
        <v>720</v>
      </c>
    </row>
    <row r="98" spans="2:10" x14ac:dyDescent="0.3">
      <c r="B98" s="7"/>
      <c r="D98">
        <v>358</v>
      </c>
      <c r="E98" t="s">
        <v>128</v>
      </c>
      <c r="F98" s="8" t="s">
        <v>327</v>
      </c>
      <c r="G98" s="9">
        <v>43000015</v>
      </c>
      <c r="H98" t="s">
        <v>128</v>
      </c>
      <c r="I98" s="10">
        <v>0</v>
      </c>
      <c r="J98" s="10">
        <v>290.39999999999998</v>
      </c>
    </row>
    <row r="99" spans="2:10" x14ac:dyDescent="0.3">
      <c r="B99" s="7"/>
      <c r="D99">
        <v>359</v>
      </c>
      <c r="E99" t="s">
        <v>163</v>
      </c>
      <c r="F99" s="8" t="s">
        <v>327</v>
      </c>
      <c r="G99" s="9">
        <v>43000016</v>
      </c>
      <c r="H99" t="s">
        <v>163</v>
      </c>
      <c r="I99" s="10">
        <v>0</v>
      </c>
      <c r="J99" s="10">
        <v>209.09</v>
      </c>
    </row>
    <row r="100" spans="2:10" x14ac:dyDescent="0.3">
      <c r="B100" s="7"/>
      <c r="D100">
        <v>360</v>
      </c>
      <c r="E100" t="s">
        <v>175</v>
      </c>
      <c r="F100" s="8" t="s">
        <v>327</v>
      </c>
      <c r="G100" s="9">
        <v>43000017</v>
      </c>
      <c r="H100" t="s">
        <v>173</v>
      </c>
      <c r="I100" s="10">
        <v>0</v>
      </c>
      <c r="J100" s="10">
        <v>150</v>
      </c>
    </row>
    <row r="101" spans="2:10" x14ac:dyDescent="0.3">
      <c r="B101" s="7"/>
      <c r="D101">
        <v>361</v>
      </c>
      <c r="E101" t="s">
        <v>220</v>
      </c>
      <c r="F101" s="8" t="s">
        <v>327</v>
      </c>
      <c r="G101" s="9">
        <v>43000018</v>
      </c>
      <c r="H101" t="s">
        <v>220</v>
      </c>
      <c r="I101" s="10">
        <v>0</v>
      </c>
      <c r="J101" s="10">
        <v>9075</v>
      </c>
    </row>
    <row r="102" spans="2:10" x14ac:dyDescent="0.3">
      <c r="B102" s="7"/>
      <c r="D102">
        <v>362</v>
      </c>
      <c r="E102" t="s">
        <v>230</v>
      </c>
      <c r="F102" s="8" t="s">
        <v>327</v>
      </c>
      <c r="G102" s="9">
        <v>43000019</v>
      </c>
      <c r="H102" t="s">
        <v>228</v>
      </c>
      <c r="I102" s="10">
        <v>0</v>
      </c>
      <c r="J102" s="10">
        <v>9680</v>
      </c>
    </row>
    <row r="103" spans="2:10" x14ac:dyDescent="0.3">
      <c r="B103" s="7"/>
      <c r="D103">
        <v>363</v>
      </c>
      <c r="E103" t="s">
        <v>293</v>
      </c>
      <c r="F103" s="8" t="s">
        <v>327</v>
      </c>
      <c r="G103" s="9">
        <v>43000020</v>
      </c>
      <c r="H103" t="s">
        <v>291</v>
      </c>
      <c r="I103" s="10">
        <v>0</v>
      </c>
      <c r="J103" s="10">
        <v>295.24</v>
      </c>
    </row>
    <row r="104" spans="2:10" x14ac:dyDescent="0.3">
      <c r="B104" s="7"/>
      <c r="D104">
        <v>364</v>
      </c>
      <c r="E104" t="s">
        <v>300</v>
      </c>
      <c r="F104" s="8" t="s">
        <v>327</v>
      </c>
      <c r="G104" s="9">
        <v>43000021</v>
      </c>
      <c r="H104" t="s">
        <v>300</v>
      </c>
      <c r="I104" s="10">
        <v>0</v>
      </c>
      <c r="J104" s="10">
        <v>172.14</v>
      </c>
    </row>
    <row r="105" spans="2:10" x14ac:dyDescent="0.3">
      <c r="B105" s="7"/>
      <c r="D105">
        <v>365</v>
      </c>
      <c r="E105" t="s">
        <v>58</v>
      </c>
      <c r="F105" s="8" t="s">
        <v>327</v>
      </c>
      <c r="G105" s="9">
        <v>47000000</v>
      </c>
      <c r="H105" t="s">
        <v>59</v>
      </c>
      <c r="I105" s="10">
        <v>0</v>
      </c>
      <c r="J105" s="10">
        <v>12701.43</v>
      </c>
    </row>
    <row r="106" spans="2:10" x14ac:dyDescent="0.3">
      <c r="B106" s="7"/>
      <c r="D106">
        <v>366</v>
      </c>
      <c r="E106" t="s">
        <v>330</v>
      </c>
      <c r="F106" s="8" t="s">
        <v>327</v>
      </c>
      <c r="G106" s="9">
        <v>47200000</v>
      </c>
      <c r="H106" t="s">
        <v>75</v>
      </c>
      <c r="I106" s="10">
        <v>0</v>
      </c>
      <c r="J106" s="10">
        <v>691.99</v>
      </c>
    </row>
    <row r="107" spans="2:10" x14ac:dyDescent="0.3">
      <c r="B107" s="7"/>
      <c r="D107">
        <v>367</v>
      </c>
      <c r="E107" t="s">
        <v>60</v>
      </c>
      <c r="F107" s="8" t="s">
        <v>327</v>
      </c>
      <c r="G107" s="9">
        <v>47450000</v>
      </c>
      <c r="H107" t="s">
        <v>61</v>
      </c>
      <c r="I107" s="10">
        <v>0</v>
      </c>
      <c r="J107" s="10">
        <v>263.22000000000003</v>
      </c>
    </row>
    <row r="108" spans="2:10" x14ac:dyDescent="0.3">
      <c r="B108" s="7"/>
      <c r="D108">
        <v>368</v>
      </c>
      <c r="E108" t="s">
        <v>322</v>
      </c>
      <c r="F108" s="8" t="s">
        <v>327</v>
      </c>
      <c r="G108" s="9">
        <v>47510000</v>
      </c>
      <c r="H108" t="s">
        <v>322</v>
      </c>
      <c r="I108" s="10">
        <v>1486.95</v>
      </c>
      <c r="J108" s="10">
        <v>0</v>
      </c>
    </row>
    <row r="109" spans="2:10" x14ac:dyDescent="0.3">
      <c r="B109" s="7"/>
      <c r="D109">
        <v>369</v>
      </c>
      <c r="E109" t="s">
        <v>331</v>
      </c>
      <c r="F109" s="8" t="s">
        <v>327</v>
      </c>
      <c r="G109" s="9">
        <v>47700000</v>
      </c>
      <c r="H109" t="s">
        <v>130</v>
      </c>
      <c r="I109" s="10">
        <v>1995</v>
      </c>
      <c r="J109" s="10">
        <v>0</v>
      </c>
    </row>
    <row r="110" spans="2:10" x14ac:dyDescent="0.3">
      <c r="B110" s="7"/>
      <c r="D110">
        <v>370</v>
      </c>
      <c r="E110" t="s">
        <v>63</v>
      </c>
      <c r="F110" s="8" t="s">
        <v>327</v>
      </c>
      <c r="G110" s="9">
        <v>55100000</v>
      </c>
      <c r="H110" t="s">
        <v>64</v>
      </c>
      <c r="I110" s="10">
        <v>17421.71</v>
      </c>
      <c r="J110" s="10">
        <v>0</v>
      </c>
    </row>
    <row r="111" spans="2:10" x14ac:dyDescent="0.3">
      <c r="B111" s="7"/>
      <c r="D111">
        <v>371</v>
      </c>
      <c r="E111" t="s">
        <v>65</v>
      </c>
      <c r="F111" s="8" t="s">
        <v>327</v>
      </c>
      <c r="G111" s="9">
        <v>55500000</v>
      </c>
      <c r="H111" t="s">
        <v>66</v>
      </c>
      <c r="I111" s="10">
        <v>0</v>
      </c>
      <c r="J111" s="10">
        <v>842.46</v>
      </c>
    </row>
    <row r="112" spans="2:10" x14ac:dyDescent="0.3">
      <c r="B112" s="7"/>
      <c r="D112">
        <v>372</v>
      </c>
      <c r="E112" t="s">
        <v>67</v>
      </c>
      <c r="F112" s="8" t="s">
        <v>327</v>
      </c>
      <c r="G112" s="9">
        <v>57200000</v>
      </c>
      <c r="H112" t="s">
        <v>67</v>
      </c>
      <c r="I112" s="10">
        <v>0</v>
      </c>
      <c r="J112" s="10">
        <v>23846.52</v>
      </c>
    </row>
    <row r="113" spans="2:10" x14ac:dyDescent="0.3">
      <c r="B113" s="7"/>
      <c r="F113" s="8" t="s">
        <v>85</v>
      </c>
      <c r="G113" s="9"/>
      <c r="H113" s="12" t="s">
        <v>332</v>
      </c>
      <c r="I113" s="13">
        <f>SUM(I8:I112)</f>
        <v>117064.07999999996</v>
      </c>
      <c r="J113" s="13">
        <f>SUM(J8:J112)</f>
        <v>117064.08000000003</v>
      </c>
    </row>
  </sheetData>
  <pageMargins left="0.75" right="0.75" top="1" bottom="1" header="0.5" footer="0.5"/>
  <pageSetup paperSize="9" fitToHeight="1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Sánchez</dc:creator>
  <cp:keywords/>
  <dc:description/>
  <cp:lastModifiedBy>Javier Santana</cp:lastModifiedBy>
  <dcterms:created xsi:type="dcterms:W3CDTF">2024-07-09T11:07:20Z</dcterms:created>
  <dcterms:modified xsi:type="dcterms:W3CDTF">2024-07-09T11:07:21Z</dcterms:modified>
  <cp:category/>
</cp:coreProperties>
</file>