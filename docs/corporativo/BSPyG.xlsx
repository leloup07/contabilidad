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LIENTES\aznar\"/>
    </mc:Choice>
  </mc:AlternateContent>
  <xr:revisionPtr revIDLastSave="0" documentId="13_ncr:1_{44431C66-FEA1-4294-B0B2-5636914EBE1F}" xr6:coauthVersionLast="47" xr6:coauthVersionMax="47" xr10:uidLastSave="{00000000-0000-0000-0000-000000000000}"/>
  <bookViews>
    <workbookView xWindow="2730" yWindow="2730" windowWidth="21600" windowHeight="12645" activeTab="2" xr2:uid="{91208073-1F85-4B8A-BAA8-60A42FB23383}"/>
  </bookViews>
  <sheets>
    <sheet name="Activo" sheetId="2" r:id="rId1"/>
    <sheet name="Pasivo" sheetId="1" r:id="rId2"/>
    <sheet name="PyG" sheetId="3" r:id="rId3"/>
  </sheets>
  <definedNames>
    <definedName name="_xlnm.Print_Area" localSheetId="0">Activo!$A$1:$B$26</definedName>
    <definedName name="_xlnm.Print_Area" localSheetId="1">Pasivo!$A$1:$B$35</definedName>
    <definedName name="_xlnm.Print_Titles" localSheetId="0">Activo!$1:$8</definedName>
    <definedName name="_xlnm.Print_Titles" localSheetId="1">Pasivo!$1:$8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5" i="1" l="1"/>
  <c r="B31" i="1"/>
  <c r="B29" i="1"/>
  <c r="B28" i="1"/>
  <c r="B27" i="1" s="1"/>
  <c r="B22" i="1" s="1"/>
  <c r="B24" i="1"/>
  <c r="B23" i="1"/>
  <c r="B18" i="1"/>
  <c r="B10" i="1" s="1"/>
  <c r="B9" i="1" s="1"/>
  <c r="B15" i="1"/>
  <c r="B14" i="1"/>
  <c r="B12" i="1"/>
  <c r="B11" i="1"/>
  <c r="B26" i="2"/>
  <c r="B24" i="2"/>
  <c r="B21" i="2"/>
  <c r="B19" i="2"/>
  <c r="B18" i="2"/>
  <c r="B17" i="2"/>
  <c r="B16" i="2" s="1"/>
  <c r="B14" i="2"/>
  <c r="B10" i="2"/>
  <c r="B9" i="2"/>
</calcChain>
</file>

<file path=xl/sharedStrings.xml><?xml version="1.0" encoding="utf-8"?>
<sst xmlns="http://schemas.openxmlformats.org/spreadsheetml/2006/main" count="75" uniqueCount="67">
  <si>
    <t>Balance de Situación</t>
  </si>
  <si>
    <t>Empresa: AZNAR LEGAL Y COMPLIANCE S.L.P.</t>
  </si>
  <si>
    <t>Período: de Enero a Diciembre</t>
  </si>
  <si>
    <t>Fecha: 08/07/2024</t>
  </si>
  <si>
    <t>Pasivo</t>
  </si>
  <si>
    <t>A) PATRIMONIO NETO</t>
  </si>
  <si>
    <t xml:space="preserve">      A-1) Fondos propios</t>
  </si>
  <si>
    <t xml:space="preserve">      I. Capital</t>
  </si>
  <si>
    <t xml:space="preserve">      1. Capital escriturado</t>
  </si>
  <si>
    <t xml:space="preserve">          100    CAPITAL SOCIAL</t>
  </si>
  <si>
    <t xml:space="preserve">      III. Reservas</t>
  </si>
  <si>
    <t xml:space="preserve">      2. Otras reservas</t>
  </si>
  <si>
    <t xml:space="preserve">          112    RESERVA LEGAL</t>
  </si>
  <si>
    <t xml:space="preserve">          113    RESERVAS VOLUNTARIAS</t>
  </si>
  <si>
    <t xml:space="preserve">      V. Resultados de ejercicios anteriores</t>
  </si>
  <si>
    <t xml:space="preserve">          120    REMANENTE</t>
  </si>
  <si>
    <t xml:space="preserve">          121    RESULTADOS NEGATIVOS DE EJERC</t>
  </si>
  <si>
    <t xml:space="preserve">      VII. Resultado del ejercicio</t>
  </si>
  <si>
    <t>C) PASIVO CORRIENTE</t>
  </si>
  <si>
    <t xml:space="preserve">      II. Deudas a corto plazo</t>
  </si>
  <si>
    <t xml:space="preserve">      3. Otras deudas a corto plazo</t>
  </si>
  <si>
    <t xml:space="preserve">          551    CUENTA CORRIENTE CON SOCIOS Y</t>
  </si>
  <si>
    <t xml:space="preserve">          555    PARTIDAS PENDIENTES DE APLICA</t>
  </si>
  <si>
    <t xml:space="preserve">      IV. Acreedores comerc. y otras cuentas a pagar</t>
  </si>
  <si>
    <t xml:space="preserve">      1. Proveedores</t>
  </si>
  <si>
    <t xml:space="preserve">      b) Proveedores a corto plazo</t>
  </si>
  <si>
    <t xml:space="preserve">          400    PROVEEDORES</t>
  </si>
  <si>
    <t xml:space="preserve">      2. Otros acreedores</t>
  </si>
  <si>
    <t xml:space="preserve">          410    ACREEDORES POR PRESTACIONES D</t>
  </si>
  <si>
    <t xml:space="preserve">          475    HACIENDA PÚBLICA, ACREEDORA P</t>
  </si>
  <si>
    <t xml:space="preserve">          477    HACIENDA PÚBLICA, IVA REPERCU</t>
  </si>
  <si>
    <t>T O T A L   PATRIMONIO NETO Y PASIVO</t>
  </si>
  <si>
    <t>Activo</t>
  </si>
  <si>
    <t>A) ACTIVO NO CORRIENTE</t>
  </si>
  <si>
    <t xml:space="preserve">      II. Inmovilizado material</t>
  </si>
  <si>
    <t xml:space="preserve">          216    MOBILIARIO</t>
  </si>
  <si>
    <t xml:space="preserve">          217    EQUIPOS PARA PROCESOS DE INFO</t>
  </si>
  <si>
    <t xml:space="preserve">          281    AMORTIZACIÓN ACUMULADA DEL IN</t>
  </si>
  <si>
    <t xml:space="preserve">      VI. Activos por Impuesto diferido</t>
  </si>
  <si>
    <t xml:space="preserve">          474    ACTIVOS POR IMPUESTO DIFERIDO</t>
  </si>
  <si>
    <t>B) ACTIVO CORRIENTE</t>
  </si>
  <si>
    <t xml:space="preserve">      II. Deudores comerciales y otras cuentas a cob.</t>
  </si>
  <si>
    <t xml:space="preserve">      1. Clientes ventas y prestación de servicios</t>
  </si>
  <si>
    <t xml:space="preserve">      b) Cltes.ventas y prestación servicios CP</t>
  </si>
  <si>
    <t xml:space="preserve">          430    CLIENTES</t>
  </si>
  <si>
    <t xml:space="preserve">      3. Otros deudores</t>
  </si>
  <si>
    <t xml:space="preserve">          470    HACIENDA PÚBLICA, DEUDORA POR</t>
  </si>
  <si>
    <t xml:space="preserve">          472    HACIENDA PÚBLICA, IVA SOPORTA</t>
  </si>
  <si>
    <t xml:space="preserve">      VI. Efectivo y otros activos líquidos equival.</t>
  </si>
  <si>
    <t xml:space="preserve">          572    BANCOS E INSTITUCIONES DE CRÉ</t>
  </si>
  <si>
    <t>T O T A L   A C T I V O</t>
  </si>
  <si>
    <t>Cuenta de Pérdidas y Ganancias</t>
  </si>
  <si>
    <t xml:space="preserve">      1. Importe neto de la cifra de negocios</t>
  </si>
  <si>
    <t xml:space="preserve">          705    PRESTACIONES DE SERVICIOS</t>
  </si>
  <si>
    <t xml:space="preserve">      4. Aprovisionamientos</t>
  </si>
  <si>
    <t xml:space="preserve">          600    COMPRAS DE MERCADERÍAS</t>
  </si>
  <si>
    <t xml:space="preserve">      7. Otros gastos de explotación</t>
  </si>
  <si>
    <t xml:space="preserve">          623    SERVICIOS DE PROFESIONALES IN</t>
  </si>
  <si>
    <t xml:space="preserve">          624    TRANSPORTES</t>
  </si>
  <si>
    <t xml:space="preserve">          626    SERVICIOS BANCARIOS Y SIMILAR</t>
  </si>
  <si>
    <t xml:space="preserve">          628    SUMINISTROS</t>
  </si>
  <si>
    <t xml:space="preserve">          629    OTROS SERVICIOS</t>
  </si>
  <si>
    <t xml:space="preserve">      8. Amortización de inmovilizado</t>
  </si>
  <si>
    <t xml:space="preserve">          681    AMORTIZACIÓN DEL INMOVILIZADO</t>
  </si>
  <si>
    <t xml:space="preserve"> A) RESULTADO DE EXPLOTACIÓN</t>
  </si>
  <si>
    <t xml:space="preserve"> C) RESULTADO ANTES DE IMPUESTOS</t>
  </si>
  <si>
    <t xml:space="preserve"> D) RESULTADO DEL EJERCICIO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</si>
</sst>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[Red]\-#,##0.00;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8"/>
      <color theme="1"/>
      <name val="Arial"/>
      <family val="2"/>
    </font>
    <font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0"/>
        <bgColor indexed="64"/>
      </patternFill>
    </fill>
  </fills>
  <borders count="2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right"/>
    </xf>
    <xf numFmtId="164" fontId="0" fillId="0" borderId="0" xfId="0" applyNumberFormat="1"/>
    <xf numFmtId="164" fontId="1" fillId="0" borderId="0" xfId="0" applyNumberFormat="1" applyFont="1"/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right"/>
    </xf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BC94C-C5FB-4750-8A66-9CA331344816}">
  <sheetPr>
    <pageSetUpPr fitToPage="1"/>
  </sheetPr>
  <dimension ref="A1:B26"/>
  <sheetViews>
    <sheetView workbookViewId="0">
      <pane xSplit="1" topLeftCell="B1" activePane="topRight" state="frozen"/>
      <selection pane="topRight" activeCell="E12" sqref="E12"/>
    </sheetView>
  </sheetViews>
  <sheetFormatPr baseColWidth="10" defaultRowHeight="15" x14ac:dyDescent="0.25"/>
  <cols>
    <col min="1" max="1" width="45.28515625" bestFit="1" customWidth="1"/>
    <col min="2" max="2" width="9.140625" bestFit="1" customWidth="1"/>
  </cols>
  <sheetData>
    <row r="1" spans="1:2" ht="23.25" x14ac:dyDescent="0.35">
      <c r="A1" s="1" t="s">
        <v>0</v>
      </c>
    </row>
    <row r="3" spans="1:2" x14ac:dyDescent="0.25">
      <c r="A3" s="2" t="s">
        <v>1</v>
      </c>
    </row>
    <row r="4" spans="1:2" x14ac:dyDescent="0.25">
      <c r="A4" s="2" t="s">
        <v>2</v>
      </c>
    </row>
    <row r="5" spans="1:2" x14ac:dyDescent="0.25">
      <c r="A5" s="2" t="s">
        <v>3</v>
      </c>
    </row>
    <row r="6" spans="1:2" ht="15.75" thickBot="1" x14ac:dyDescent="0.3"/>
    <row r="7" spans="1:2" ht="16.5" thickTop="1" thickBot="1" x14ac:dyDescent="0.3">
      <c r="A7" s="3" t="s">
        <v>32</v>
      </c>
      <c r="B7" s="4">
        <v>2023</v>
      </c>
    </row>
    <row r="8" spans="1:2" ht="15.75" thickTop="1" x14ac:dyDescent="0.25"/>
    <row r="9" spans="1:2" x14ac:dyDescent="0.25">
      <c r="A9" s="2" t="s">
        <v>33</v>
      </c>
      <c r="B9" s="6">
        <f>+B10+B14</f>
        <v>1495.1900000000003</v>
      </c>
    </row>
    <row r="10" spans="1:2" x14ac:dyDescent="0.25">
      <c r="A10" t="s">
        <v>34</v>
      </c>
      <c r="B10" s="5">
        <f>SUM(B11:B13)</f>
        <v>1231.9700000000003</v>
      </c>
    </row>
    <row r="11" spans="1:2" x14ac:dyDescent="0.25">
      <c r="A11" t="s">
        <v>35</v>
      </c>
      <c r="B11" s="5">
        <v>245.45</v>
      </c>
    </row>
    <row r="12" spans="1:2" x14ac:dyDescent="0.25">
      <c r="A12" t="s">
        <v>36</v>
      </c>
      <c r="B12" s="5">
        <v>1994.18</v>
      </c>
    </row>
    <row r="13" spans="1:2" x14ac:dyDescent="0.25">
      <c r="A13" t="s">
        <v>37</v>
      </c>
      <c r="B13" s="5">
        <v>-1007.66</v>
      </c>
    </row>
    <row r="14" spans="1:2" x14ac:dyDescent="0.25">
      <c r="A14" t="s">
        <v>38</v>
      </c>
      <c r="B14" s="5">
        <f>B15</f>
        <v>263.22000000000003</v>
      </c>
    </row>
    <row r="15" spans="1:2" x14ac:dyDescent="0.25">
      <c r="A15" t="s">
        <v>39</v>
      </c>
      <c r="B15" s="5">
        <v>263.22000000000003</v>
      </c>
    </row>
    <row r="16" spans="1:2" x14ac:dyDescent="0.25">
      <c r="A16" s="2" t="s">
        <v>40</v>
      </c>
      <c r="B16" s="6">
        <f>+B17+B24</f>
        <v>65873.31</v>
      </c>
    </row>
    <row r="17" spans="1:2" x14ac:dyDescent="0.25">
      <c r="A17" t="s">
        <v>41</v>
      </c>
      <c r="B17" s="5">
        <f>+B18+B21</f>
        <v>42026.79</v>
      </c>
    </row>
    <row r="18" spans="1:2" x14ac:dyDescent="0.25">
      <c r="A18" t="s">
        <v>42</v>
      </c>
      <c r="B18" s="5">
        <f>+B19</f>
        <v>28633.37</v>
      </c>
    </row>
    <row r="19" spans="1:2" x14ac:dyDescent="0.25">
      <c r="A19" t="s">
        <v>43</v>
      </c>
      <c r="B19" s="5">
        <f>B20</f>
        <v>28633.37</v>
      </c>
    </row>
    <row r="20" spans="1:2" x14ac:dyDescent="0.25">
      <c r="A20" t="s">
        <v>44</v>
      </c>
      <c r="B20" s="5">
        <v>28633.37</v>
      </c>
    </row>
    <row r="21" spans="1:2" x14ac:dyDescent="0.25">
      <c r="A21" t="s">
        <v>45</v>
      </c>
      <c r="B21" s="5">
        <f>SUM(B22:B23)</f>
        <v>13393.42</v>
      </c>
    </row>
    <row r="22" spans="1:2" x14ac:dyDescent="0.25">
      <c r="A22" t="s">
        <v>46</v>
      </c>
      <c r="B22" s="5">
        <v>12701.43</v>
      </c>
    </row>
    <row r="23" spans="1:2" x14ac:dyDescent="0.25">
      <c r="A23" t="s">
        <v>47</v>
      </c>
      <c r="B23" s="5">
        <v>691.99</v>
      </c>
    </row>
    <row r="24" spans="1:2" x14ac:dyDescent="0.25">
      <c r="A24" t="s">
        <v>48</v>
      </c>
      <c r="B24" s="5">
        <f>B25</f>
        <v>23846.52</v>
      </c>
    </row>
    <row r="25" spans="1:2" x14ac:dyDescent="0.25">
      <c r="A25" t="s">
        <v>49</v>
      </c>
      <c r="B25" s="5">
        <v>23846.52</v>
      </c>
    </row>
    <row r="26" spans="1:2" x14ac:dyDescent="0.25">
      <c r="A26" s="2" t="s">
        <v>50</v>
      </c>
      <c r="B26" s="6">
        <f>+B9+B16</f>
        <v>67368.5</v>
      </c>
    </row>
  </sheetData>
  <pageMargins left="0.7" right="0.7" top="0.75" bottom="0.75" header="0.3" footer="0.3"/>
  <pageSetup paperSize="9" fitToHeight="10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80B4-130C-4E5E-94FB-84B289298564}">
  <sheetPr>
    <pageSetUpPr fitToPage="1"/>
  </sheetPr>
  <dimension ref="A1:B35"/>
  <sheetViews>
    <sheetView workbookViewId="0">
      <pane xSplit="1" topLeftCell="B1" activePane="topRight" state="frozen"/>
      <selection pane="topRight" activeCell="A2" sqref="A2"/>
    </sheetView>
  </sheetViews>
  <sheetFormatPr baseColWidth="10" defaultRowHeight="15" x14ac:dyDescent="0.25"/>
  <cols>
    <col min="1" max="1" width="45.140625" bestFit="1" customWidth="1"/>
    <col min="2" max="2" width="9.140625" bestFit="1" customWidth="1"/>
  </cols>
  <sheetData>
    <row r="1" spans="1:2" ht="23.25" x14ac:dyDescent="0.35">
      <c r="A1" s="1" t="s">
        <v>0</v>
      </c>
    </row>
    <row r="3" spans="1:2" x14ac:dyDescent="0.25">
      <c r="A3" s="2" t="s">
        <v>1</v>
      </c>
    </row>
    <row r="4" spans="1:2" x14ac:dyDescent="0.25">
      <c r="A4" s="2" t="s">
        <v>2</v>
      </c>
    </row>
    <row r="5" spans="1:2" x14ac:dyDescent="0.25">
      <c r="A5" s="2" t="s">
        <v>3</v>
      </c>
    </row>
    <row r="6" spans="1:2" ht="15.75" thickBot="1" x14ac:dyDescent="0.3"/>
    <row r="7" spans="1:2" ht="16.5" thickTop="1" thickBot="1" x14ac:dyDescent="0.3">
      <c r="A7" s="3" t="s">
        <v>4</v>
      </c>
      <c r="B7" s="4">
        <v>2023</v>
      </c>
    </row>
    <row r="8" spans="1:2" ht="15.75" thickTop="1" x14ac:dyDescent="0.25"/>
    <row r="9" spans="1:2" x14ac:dyDescent="0.25">
      <c r="A9" s="2" t="s">
        <v>5</v>
      </c>
      <c r="B9" s="6">
        <f>+B10</f>
        <v>20706.29</v>
      </c>
    </row>
    <row r="10" spans="1:2" x14ac:dyDescent="0.25">
      <c r="A10" t="s">
        <v>6</v>
      </c>
      <c r="B10" s="5">
        <f>+B11+B14+B18+B21</f>
        <v>20706.29</v>
      </c>
    </row>
    <row r="11" spans="1:2" x14ac:dyDescent="0.25">
      <c r="A11" t="s">
        <v>7</v>
      </c>
      <c r="B11" s="5">
        <f>+B12</f>
        <v>3000</v>
      </c>
    </row>
    <row r="12" spans="1:2" x14ac:dyDescent="0.25">
      <c r="A12" t="s">
        <v>8</v>
      </c>
      <c r="B12" s="5">
        <f>B13</f>
        <v>3000</v>
      </c>
    </row>
    <row r="13" spans="1:2" x14ac:dyDescent="0.25">
      <c r="A13" t="s">
        <v>9</v>
      </c>
      <c r="B13" s="5">
        <v>3000</v>
      </c>
    </row>
    <row r="14" spans="1:2" x14ac:dyDescent="0.25">
      <c r="A14" t="s">
        <v>10</v>
      </c>
      <c r="B14" s="5">
        <f>+B15</f>
        <v>12346.4</v>
      </c>
    </row>
    <row r="15" spans="1:2" x14ac:dyDescent="0.25">
      <c r="A15" t="s">
        <v>11</v>
      </c>
      <c r="B15" s="5">
        <f>SUM(B16:B17)</f>
        <v>12346.4</v>
      </c>
    </row>
    <row r="16" spans="1:2" x14ac:dyDescent="0.25">
      <c r="A16" t="s">
        <v>12</v>
      </c>
      <c r="B16" s="5">
        <v>600</v>
      </c>
    </row>
    <row r="17" spans="1:2" x14ac:dyDescent="0.25">
      <c r="A17" t="s">
        <v>13</v>
      </c>
      <c r="B17" s="5">
        <v>11746.4</v>
      </c>
    </row>
    <row r="18" spans="1:2" x14ac:dyDescent="0.25">
      <c r="A18" t="s">
        <v>14</v>
      </c>
      <c r="B18" s="5">
        <f>SUM(B19:B20)</f>
        <v>-720.08999999999969</v>
      </c>
    </row>
    <row r="19" spans="1:2" x14ac:dyDescent="0.25">
      <c r="A19" t="s">
        <v>15</v>
      </c>
      <c r="B19" s="5">
        <v>1697.38</v>
      </c>
    </row>
    <row r="20" spans="1:2" x14ac:dyDescent="0.25">
      <c r="A20" t="s">
        <v>16</v>
      </c>
      <c r="B20" s="5">
        <v>-2417.4699999999998</v>
      </c>
    </row>
    <row r="21" spans="1:2" x14ac:dyDescent="0.25">
      <c r="A21" t="s">
        <v>17</v>
      </c>
      <c r="B21" s="5">
        <v>6079.98</v>
      </c>
    </row>
    <row r="22" spans="1:2" x14ac:dyDescent="0.25">
      <c r="A22" s="2" t="s">
        <v>18</v>
      </c>
      <c r="B22" s="6">
        <f>+B23+B27</f>
        <v>46662.21</v>
      </c>
    </row>
    <row r="23" spans="1:2" x14ac:dyDescent="0.25">
      <c r="A23" t="s">
        <v>19</v>
      </c>
      <c r="B23" s="5">
        <f>+B24</f>
        <v>16579.25</v>
      </c>
    </row>
    <row r="24" spans="1:2" x14ac:dyDescent="0.25">
      <c r="A24" t="s">
        <v>20</v>
      </c>
      <c r="B24" s="5">
        <f>SUM(B25:B26)</f>
        <v>16579.25</v>
      </c>
    </row>
    <row r="25" spans="1:2" x14ac:dyDescent="0.25">
      <c r="A25" t="s">
        <v>21</v>
      </c>
      <c r="B25" s="5">
        <v>17421.71</v>
      </c>
    </row>
    <row r="26" spans="1:2" x14ac:dyDescent="0.25">
      <c r="A26" t="s">
        <v>22</v>
      </c>
      <c r="B26" s="5">
        <v>-842.46</v>
      </c>
    </row>
    <row r="27" spans="1:2" x14ac:dyDescent="0.25">
      <c r="A27" t="s">
        <v>23</v>
      </c>
      <c r="B27" s="5">
        <f>+B28+B31</f>
        <v>30082.959999999999</v>
      </c>
    </row>
    <row r="28" spans="1:2" x14ac:dyDescent="0.25">
      <c r="A28" t="s">
        <v>24</v>
      </c>
      <c r="B28" s="5">
        <f>+B29</f>
        <v>249.96</v>
      </c>
    </row>
    <row r="29" spans="1:2" x14ac:dyDescent="0.25">
      <c r="A29" t="s">
        <v>25</v>
      </c>
      <c r="B29" s="5">
        <f>B30</f>
        <v>249.96</v>
      </c>
    </row>
    <row r="30" spans="1:2" x14ac:dyDescent="0.25">
      <c r="A30" t="s">
        <v>26</v>
      </c>
      <c r="B30" s="5">
        <v>249.96</v>
      </c>
    </row>
    <row r="31" spans="1:2" x14ac:dyDescent="0.25">
      <c r="A31" t="s">
        <v>27</v>
      </c>
      <c r="B31" s="5">
        <f>SUM(B32:B34)</f>
        <v>29833</v>
      </c>
    </row>
    <row r="32" spans="1:2" x14ac:dyDescent="0.25">
      <c r="A32" t="s">
        <v>28</v>
      </c>
      <c r="B32" s="5">
        <v>26351.05</v>
      </c>
    </row>
    <row r="33" spans="1:2" x14ac:dyDescent="0.25">
      <c r="A33" t="s">
        <v>29</v>
      </c>
      <c r="B33" s="5">
        <v>1486.95</v>
      </c>
    </row>
    <row r="34" spans="1:2" x14ac:dyDescent="0.25">
      <c r="A34" t="s">
        <v>30</v>
      </c>
      <c r="B34" s="5">
        <v>1995</v>
      </c>
    </row>
    <row r="35" spans="1:2" x14ac:dyDescent="0.25">
      <c r="A35" s="2" t="s">
        <v>31</v>
      </c>
      <c r="B35" s="6">
        <f>+B9+B22</f>
        <v>67368.5</v>
      </c>
    </row>
  </sheetData>
  <pageMargins left="0.7" right="0.7" top="0.75" bottom="0.75" header="0.3" footer="0.3"/>
  <pageSetup paperSize="9" fitToHeight="10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1A227-5524-48A5-B300-FE6FABE418B3}">
  <dimension ref="A1:B23"/>
  <sheetViews>
    <sheetView tabSelected="1" workbookViewId="0">
      <selection activeCell="E17" sqref="E16:E17"/>
    </sheetView>
  </sheetViews>
  <sheetFormatPr baseColWidth="10" defaultRowHeight="15" x14ac:dyDescent="0.25"/>
  <cols>
    <col min="1" max="1" width="56.85546875" bestFit="1" customWidth="1"/>
  </cols>
  <sheetData>
    <row r="1" spans="1:2" ht="23.25" x14ac:dyDescent="0.35">
      <c r="A1" s="8" t="s">
        <v>51</v>
      </c>
      <c r="B1" s="7"/>
    </row>
    <row r="3" spans="1:2" x14ac:dyDescent="0.25">
      <c r="A3" s="9" t="s">
        <v>1</v>
      </c>
      <c r="B3" s="7"/>
    </row>
    <row r="4" spans="1:2" x14ac:dyDescent="0.25">
      <c r="A4" s="9" t="s">
        <v>2</v>
      </c>
      <c r="B4" s="7"/>
    </row>
    <row r="5" spans="1:2" x14ac:dyDescent="0.25">
      <c r="A5" s="9" t="s">
        <v>3</v>
      </c>
      <c r="B5" s="7"/>
    </row>
    <row r="6" spans="1:2" ht="15.75" thickBot="1" x14ac:dyDescent="0.3">
      <c r="A6" s="7"/>
      <c r="B6" s="7"/>
    </row>
    <row r="7" spans="1:2" ht="16.5" thickTop="1" thickBot="1" x14ac:dyDescent="0.3">
      <c r="A7" s="10" t="s">
        <v>51</v>
      </c>
      <c r="B7" s="11">
        <v>2023</v>
      </c>
    </row>
    <row r="8" spans="1:2" ht="15.75" thickTop="1" x14ac:dyDescent="0.25">
      <c r="A8" s="7"/>
      <c r="B8" s="7"/>
    </row>
    <row r="9" spans="1:2" x14ac:dyDescent="0.25">
      <c r="A9" s="7" t="s">
        <v>52</v>
      </c>
      <c r="B9" s="12">
        <v>23539.200000000001</v>
      </c>
    </row>
    <row r="10" spans="1:2" x14ac:dyDescent="0.25">
      <c r="A10" s="7" t="s">
        <v>53</v>
      </c>
      <c r="B10" s="12">
        <v>23539.200000000001</v>
      </c>
    </row>
    <row r="11" spans="1:2" x14ac:dyDescent="0.25">
      <c r="A11" s="7" t="s">
        <v>54</v>
      </c>
      <c r="B11" s="12">
        <v>-3418.53</v>
      </c>
    </row>
    <row r="12" spans="1:2" x14ac:dyDescent="0.25">
      <c r="A12" s="7" t="s">
        <v>55</v>
      </c>
      <c r="B12" s="12">
        <v>-3418.53</v>
      </c>
    </row>
    <row r="13" spans="1:2" x14ac:dyDescent="0.25">
      <c r="A13" s="7" t="s">
        <v>56</v>
      </c>
      <c r="B13" s="12">
        <v>-13559.880000000001</v>
      </c>
    </row>
    <row r="14" spans="1:2" x14ac:dyDescent="0.25">
      <c r="A14" s="7" t="s">
        <v>57</v>
      </c>
      <c r="B14" s="12">
        <v>-10303.01</v>
      </c>
    </row>
    <row r="15" spans="1:2" x14ac:dyDescent="0.25">
      <c r="A15" s="7" t="s">
        <v>58</v>
      </c>
      <c r="B15" s="12">
        <v>-127.61</v>
      </c>
    </row>
    <row r="16" spans="1:2" x14ac:dyDescent="0.25">
      <c r="A16" s="7" t="s">
        <v>59</v>
      </c>
      <c r="B16" s="12">
        <v>-50</v>
      </c>
    </row>
    <row r="17" spans="1:2" x14ac:dyDescent="0.25">
      <c r="A17" s="7" t="s">
        <v>60</v>
      </c>
      <c r="B17" s="12">
        <v>-1181.95</v>
      </c>
    </row>
    <row r="18" spans="1:2" x14ac:dyDescent="0.25">
      <c r="A18" s="7" t="s">
        <v>61</v>
      </c>
      <c r="B18" s="12">
        <v>-1897.31</v>
      </c>
    </row>
    <row r="19" spans="1:2" x14ac:dyDescent="0.25">
      <c r="A19" s="7" t="s">
        <v>62</v>
      </c>
      <c r="B19" s="12">
        <v>-480.81</v>
      </c>
    </row>
    <row r="20" spans="1:2" x14ac:dyDescent="0.25">
      <c r="A20" s="7" t="s">
        <v>63</v>
      </c>
      <c r="B20" s="12">
        <v>-480.81</v>
      </c>
    </row>
    <row r="21" spans="1:2" x14ac:dyDescent="0.25">
      <c r="A21" s="9" t="s">
        <v>64</v>
      </c>
      <c r="B21" s="13">
        <v>6079.9800000000005</v>
      </c>
    </row>
    <row r="22" spans="1:2" x14ac:dyDescent="0.25">
      <c r="A22" s="9" t="s">
        <v>65</v>
      </c>
      <c r="B22" s="13">
        <v>6079.9800000000005</v>
      </c>
    </row>
    <row r="23" spans="1:2" x14ac:dyDescent="0.25">
      <c r="A23" s="9" t="s">
        <v>66</v>
      </c>
      <c r="B23" s="13">
        <v>6079.9800000000005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Activo</vt:lpstr>
      <vt:lpstr>Pasivo</vt:lpstr>
      <vt:lpstr>PyG</vt:lpstr>
      <vt:lpstr>Activo!Área_de_impresión</vt:lpstr>
      <vt:lpstr>Pasivo!Área_de_impresión</vt:lpstr>
      <vt:lpstr>Activo!Títulos_a_imprimir</vt:lpstr>
      <vt:lpstr>Pasivo!Títulos_a_imprimir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Santana</dc:creator>
  <cp:lastModifiedBy>Javier Santana</cp:lastModifiedBy>
  <dcterms:created xsi:type="dcterms:W3CDTF">2024-07-08T11:20:00Z</dcterms:created>
  <dcterms:modified xsi:type="dcterms:W3CDTF">2024-07-08T11:21:38Z</dcterms:modified>
</cp:coreProperties>
</file>